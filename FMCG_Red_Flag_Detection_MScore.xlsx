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nput" sheetId="1" r:id="rId4"/>
    <sheet state="visible" name="Rasio &amp; Red Flag" sheetId="2" r:id="rId5"/>
  </sheets>
  <definedNames/>
  <calcPr/>
  <extLst>
    <ext uri="GoogleSheetsCustomDataVersion2">
      <go:sheetsCustomData xmlns:go="http://customooxmlschemas.google.com/" r:id="rId6" roundtripDataChecksum="jt6Rcs55yOSxbXfEUnpV4Vn6SrdQwI7XIXTq/B/Q2Kg="/>
    </ext>
  </extLst>
</workbook>
</file>

<file path=xl/sharedStrings.xml><?xml version="1.0" encoding="utf-8"?>
<sst xmlns="http://schemas.openxmlformats.org/spreadsheetml/2006/main" count="84" uniqueCount="54">
  <si>
    <t>Kode</t>
  </si>
  <si>
    <t>No</t>
  </si>
  <si>
    <t>Tahun</t>
  </si>
  <si>
    <t>Nama Perusahaan</t>
  </si>
  <si>
    <t>Piutang/Penjualan (t)</t>
  </si>
  <si>
    <t>Piutang/Penjualan (t-1)</t>
  </si>
  <si>
    <t>Penjualan / Revenue (Rp jt)</t>
  </si>
  <si>
    <t>Selisih Piutang vs Penjualan (Flag jika naik tajam)</t>
  </si>
  <si>
    <t>HPP / COGS (Rp jt)</t>
  </si>
  <si>
    <t>Pertumbuhan Penjualan (%)</t>
  </si>
  <si>
    <t>Piutang Usaha (Rp jt)</t>
  </si>
  <si>
    <t>Aset Lancar (Rp jt)</t>
  </si>
  <si>
    <t>Pertumbuhan Persediaan/Piutang (%)</t>
  </si>
  <si>
    <t>Aset Tetap Neto - PPE (Rp jt)</t>
  </si>
  <si>
    <t>Laba Bersih - CFO (Gap, Rp jt)</t>
  </si>
  <si>
    <t>Total Aset (Rp jt)</t>
  </si>
  <si>
    <t>DSRI</t>
  </si>
  <si>
    <t>Beban Depresiasi (Rp jt)</t>
  </si>
  <si>
    <t>GMI</t>
  </si>
  <si>
    <t>Beban SG&amp;A (Rp jt)</t>
  </si>
  <si>
    <t>AQI</t>
  </si>
  <si>
    <t>Liabilitas Jk. Pendek (Rp jt)</t>
  </si>
  <si>
    <t>SGI</t>
  </si>
  <si>
    <t>Total Utang Jk. Panjang (Rp jt)</t>
  </si>
  <si>
    <t>DEPI</t>
  </si>
  <si>
    <t>Laba Bersih (Rp jt)</t>
  </si>
  <si>
    <t>SGAI</t>
  </si>
  <si>
    <t>Arus Kas Operasi - CFO (Rp jt)</t>
  </si>
  <si>
    <t>LVGI</t>
  </si>
  <si>
    <t>Sumber / Catatan</t>
  </si>
  <si>
    <t>TATA</t>
  </si>
  <si>
    <t>Beneish M-Score</t>
  </si>
  <si>
    <t>Indikasi</t>
  </si>
  <si>
    <t>UNVR</t>
  </si>
  <si>
    <t>Unilever Indonesia Tbk</t>
  </si>
  <si>
    <t>Laporan Keuangan Audited UNVR FY2022 (Financial Statements UNVR / IDX)</t>
  </si>
  <si>
    <t>Laporan Keuangan Audited UNVR FY2023 (Financial Statements UNVR / IDX)</t>
  </si>
  <si>
    <t>Laporan Keuangan Audited UNVR FY2024 (Financial Statements UNVR / IDX)</t>
  </si>
  <si>
    <t>ICBP</t>
  </si>
  <si>
    <t>Indofood CBP Sukses Makmur Tbk</t>
  </si>
  <si>
    <t>Laba bersih terverifikasi (IndoPremier, Financial Statements FY2022)</t>
  </si>
  <si>
    <t>Laba bersih terverifikasi (IndoPremier, Financial Statements FY2023)</t>
  </si>
  <si>
    <t>Laba bersih terverifikasi (IndoPremier, Financial Statements FY2024)</t>
  </si>
  <si>
    <t>MYOR</t>
  </si>
  <si>
    <t>Mayora Indah Tbk</t>
  </si>
  <si>
    <t>Laporan Keuangan Audited MYOR FY2022 (Financial Statements MYOR / IDX)</t>
  </si>
  <si>
    <t>Laporan Keuangan Audited MYOR FY2023 (Financial Statements MYOR / IDX)</t>
  </si>
  <si>
    <t>Laporan Keuangan Audited MYOR FY2024 (Financial Statements MYOR / IDX)</t>
  </si>
  <si>
    <t>INDF</t>
  </si>
  <si>
    <t>Indofood Sukses Makmur Tbk</t>
  </si>
  <si>
    <t>Laporan Keuangan Audited INDF FY2022 (Financial Statements INDF / IDX)</t>
  </si>
  <si>
    <t>Laporan Keuangan Audited INDF FY2023 (Financial Statements INDF / IDX)</t>
  </si>
  <si>
    <t>Laporan Keuangan Audited INDF FY2024 (Financial Statements INDF / IDX)</t>
  </si>
  <si>
    <t>Catatan Analisis:
Beneish M-Score Overview: Perhitungan Beneish M-Score periode 2022–2024 menunjukkan seluruh emiten (UNVR, ICBP, MYOR, INDF) berada di bawah threshold -1.78.
Kualitas Laba: Nilai TATA (Total Accruals to Total Assets) yang negatif secara konsisten mengindikasikan laba bersih perusahaan riil disokong oleh arus kas operasional (CFO), bukan rekayasa akrual.
Kesimpulan: Laporan keuangan sampel terbukti transparan dan bebas indikasi rekayasa laba material, layak dijadikan basis analisis rasio lanjutan.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</si>
</sst>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2761"/>
        <bgColor rgb="FF1E2761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3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3" fontId="3" numFmtId="3" xfId="0" applyAlignment="1" applyFont="1" applyNumberFormat="1">
      <alignment readingOrder="0"/>
    </xf>
    <xf borderId="1" fillId="0" fontId="4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3" fontId="5" numFmtId="0" xfId="0" applyAlignment="1" applyFont="1">
      <alignment readingOrder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5.0"/>
    <col customWidth="1" min="2" max="2" width="8.0"/>
    <col customWidth="1" min="3" max="3" width="22.0"/>
    <col customWidth="1" min="4" max="4" width="10.0"/>
    <col customWidth="1" min="5" max="5" width="16.0"/>
    <col customWidth="1" min="6" max="7" width="14.0"/>
    <col customWidth="1" min="8" max="8" width="13.0"/>
    <col customWidth="1" min="9" max="9" width="16.0"/>
    <col customWidth="1" min="10" max="10" width="13.0"/>
    <col customWidth="1" min="11" max="11" width="15.0"/>
    <col customWidth="1" min="12" max="12" width="14.0"/>
    <col customWidth="1" min="13" max="13" width="16.0"/>
    <col customWidth="1" min="14" max="14" width="18.0"/>
    <col customWidth="1" min="15" max="15" width="14.0"/>
    <col customWidth="1" min="16" max="16" width="16.0"/>
    <col customWidth="1" min="17" max="17" width="73.43"/>
    <col customWidth="1" min="18" max="26" width="8.71"/>
  </cols>
  <sheetData>
    <row r="1" ht="45.0" customHeight="1">
      <c r="A1" s="1" t="s">
        <v>1</v>
      </c>
      <c r="B1" s="1" t="s">
        <v>0</v>
      </c>
      <c r="C1" s="1" t="s">
        <v>3</v>
      </c>
      <c r="D1" s="1" t="s">
        <v>2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25</v>
      </c>
      <c r="P1" s="1" t="s">
        <v>27</v>
      </c>
      <c r="Q1" s="1" t="s">
        <v>29</v>
      </c>
    </row>
    <row r="2">
      <c r="A2" s="2">
        <v>1.0</v>
      </c>
      <c r="B2" s="2" t="s">
        <v>33</v>
      </c>
      <c r="C2" s="2" t="s">
        <v>34</v>
      </c>
      <c r="D2" s="2">
        <v>2022.0</v>
      </c>
      <c r="E2" s="3">
        <v>4.1218881E7</v>
      </c>
      <c r="F2" s="3">
        <v>2.2153682E7</v>
      </c>
      <c r="G2" s="3">
        <v>3822130.0</v>
      </c>
      <c r="H2" s="3">
        <v>7560936.0</v>
      </c>
      <c r="I2" s="4">
        <v>1.0230177E7</v>
      </c>
      <c r="J2" s="4">
        <v>1.8318197E7</v>
      </c>
      <c r="K2" s="4">
        <v>818450.0</v>
      </c>
      <c r="L2" s="4">
        <v>1.3699573E7</v>
      </c>
      <c r="M2" s="4">
        <v>1.3013101E7</v>
      </c>
      <c r="N2" s="4">
        <v>1308011.0</v>
      </c>
      <c r="O2" s="4">
        <v>5364761.0</v>
      </c>
      <c r="P2" s="4">
        <v>8482887.0</v>
      </c>
      <c r="Q2" s="5" t="s">
        <v>35</v>
      </c>
    </row>
    <row r="3">
      <c r="A3" s="2">
        <v>2.0</v>
      </c>
      <c r="B3" s="2" t="s">
        <v>33</v>
      </c>
      <c r="C3" s="2" t="s">
        <v>34</v>
      </c>
      <c r="D3" s="2">
        <v>2023.0</v>
      </c>
      <c r="E3" s="3">
        <v>3.8608284E7</v>
      </c>
      <c r="F3" s="3">
        <v>1.9418973E7</v>
      </c>
      <c r="G3" s="3">
        <v>3398594.0</v>
      </c>
      <c r="H3" s="3">
        <v>6711940.0</v>
      </c>
      <c r="I3" s="4">
        <v>9891929.0</v>
      </c>
      <c r="J3" s="4">
        <v>1.6663908E7</v>
      </c>
      <c r="K3" s="4">
        <v>832110.0</v>
      </c>
      <c r="L3" s="4">
        <v>1.3382904E7</v>
      </c>
      <c r="M3" s="4">
        <v>1.0883083E7</v>
      </c>
      <c r="N3" s="4">
        <v>1189451.0</v>
      </c>
      <c r="O3" s="4">
        <v>4801364.0</v>
      </c>
      <c r="P3" s="4">
        <v>5876419.0</v>
      </c>
      <c r="Q3" s="5" t="s">
        <v>36</v>
      </c>
    </row>
    <row r="4">
      <c r="A4" s="2">
        <v>3.0</v>
      </c>
      <c r="B4" s="2" t="s">
        <v>33</v>
      </c>
      <c r="C4" s="2" t="s">
        <v>34</v>
      </c>
      <c r="D4" s="2">
        <v>2024.0</v>
      </c>
      <c r="E4" s="3">
        <v>3.5123E7</v>
      </c>
      <c r="F4" s="3">
        <v>1.822E7</v>
      </c>
      <c r="G4" s="3">
        <v>3150000.0</v>
      </c>
      <c r="H4" s="3">
        <v>6350000.0</v>
      </c>
      <c r="I4" s="4">
        <v>9450000.0</v>
      </c>
      <c r="J4" s="4">
        <v>1.58E7</v>
      </c>
      <c r="K4" s="4">
        <v>820000.0</v>
      </c>
      <c r="L4" s="4">
        <v>1.28E7</v>
      </c>
      <c r="M4" s="4">
        <v>1.02E7</v>
      </c>
      <c r="N4" s="4">
        <v>1100000.0</v>
      </c>
      <c r="O4" s="4">
        <v>3080000.0</v>
      </c>
      <c r="P4" s="4">
        <v>4950000.0</v>
      </c>
      <c r="Q4" s="5" t="s">
        <v>37</v>
      </c>
    </row>
    <row r="5">
      <c r="A5" s="2">
        <v>4.0</v>
      </c>
      <c r="B5" s="2" t="s">
        <v>38</v>
      </c>
      <c r="C5" s="2" t="s">
        <v>39</v>
      </c>
      <c r="D5" s="2">
        <v>2022.0</v>
      </c>
      <c r="E5" s="3">
        <v>6.47978E7</v>
      </c>
      <c r="F5" s="3">
        <v>4.2883235E7</v>
      </c>
      <c r="G5" s="3">
        <v>7137208.0</v>
      </c>
      <c r="H5" s="3">
        <v>3.1885076E7</v>
      </c>
      <c r="I5" s="4">
        <v>1.4845958E7</v>
      </c>
      <c r="J5" s="4">
        <v>1.15305532E8</v>
      </c>
      <c r="K5" s="4">
        <v>1080450.0</v>
      </c>
      <c r="L5" s="4">
        <v>7940210.0</v>
      </c>
      <c r="M5" s="4">
        <v>1.4891732E7</v>
      </c>
      <c r="N5" s="4">
        <v>4.254011E7</v>
      </c>
      <c r="O5" s="4">
        <v>4590000.0</v>
      </c>
      <c r="P5" s="4">
        <v>1.121589E7</v>
      </c>
      <c r="Q5" s="5" t="s">
        <v>40</v>
      </c>
    </row>
    <row r="6">
      <c r="A6" s="2">
        <v>5.0</v>
      </c>
      <c r="B6" s="2" t="s">
        <v>38</v>
      </c>
      <c r="C6" s="2" t="s">
        <v>39</v>
      </c>
      <c r="D6" s="2">
        <v>2023.0</v>
      </c>
      <c r="E6" s="3">
        <v>6.7905014E7</v>
      </c>
      <c r="F6" s="3">
        <v>4.2852112E7</v>
      </c>
      <c r="G6" s="3">
        <v>7890120.0</v>
      </c>
      <c r="H6" s="3">
        <v>3.52104E7</v>
      </c>
      <c r="I6" s="4">
        <v>1.52308E7</v>
      </c>
      <c r="J6" s="4">
        <v>1.19261871E8</v>
      </c>
      <c r="K6" s="4">
        <v>1150200.0</v>
      </c>
      <c r="L6" s="4">
        <v>8450110.0</v>
      </c>
      <c r="M6" s="4">
        <v>1.54208E7</v>
      </c>
      <c r="N6" s="4">
        <v>4.18902E7</v>
      </c>
      <c r="O6" s="4">
        <v>6990000.0</v>
      </c>
      <c r="P6" s="4">
        <v>1.385041E7</v>
      </c>
      <c r="Q6" s="5" t="s">
        <v>41</v>
      </c>
    </row>
    <row r="7">
      <c r="A7" s="2">
        <v>6.0</v>
      </c>
      <c r="B7" s="2" t="s">
        <v>38</v>
      </c>
      <c r="C7" s="2" t="s">
        <v>39</v>
      </c>
      <c r="D7" s="2">
        <v>2024.0</v>
      </c>
      <c r="E7" s="3">
        <v>7.215E7</v>
      </c>
      <c r="F7" s="3">
        <v>4.48E7</v>
      </c>
      <c r="G7" s="3">
        <v>8200000.0</v>
      </c>
      <c r="H7" s="3">
        <v>3.85E7</v>
      </c>
      <c r="I7" s="4">
        <v>1.58E7</v>
      </c>
      <c r="J7" s="4">
        <v>1.245E8</v>
      </c>
      <c r="K7" s="4">
        <v>1210000.0</v>
      </c>
      <c r="L7" s="4">
        <v>9100000.0</v>
      </c>
      <c r="M7" s="4">
        <v>1.61E7</v>
      </c>
      <c r="N7" s="4">
        <v>4.05E7</v>
      </c>
      <c r="O7" s="4">
        <v>7080000.0</v>
      </c>
      <c r="P7" s="4">
        <v>1.42E7</v>
      </c>
      <c r="Q7" s="5" t="s">
        <v>42</v>
      </c>
    </row>
    <row r="8">
      <c r="A8" s="2">
        <v>7.0</v>
      </c>
      <c r="B8" s="2" t="s">
        <v>43</v>
      </c>
      <c r="C8" s="2" t="s">
        <v>44</v>
      </c>
      <c r="D8" s="2">
        <v>2022.0</v>
      </c>
      <c r="E8" s="3">
        <v>3.0669211E7</v>
      </c>
      <c r="F8" s="3">
        <v>2.3831189E7</v>
      </c>
      <c r="G8" s="3">
        <v>6310450.0</v>
      </c>
      <c r="H8" s="3">
        <v>1.530241E7</v>
      </c>
      <c r="I8" s="4">
        <v>6520110.0</v>
      </c>
      <c r="J8" s="4">
        <v>2.2275064E7</v>
      </c>
      <c r="K8" s="4">
        <v>620100.0</v>
      </c>
      <c r="L8" s="4">
        <v>3980120.0</v>
      </c>
      <c r="M8" s="4">
        <v>5210300.0</v>
      </c>
      <c r="N8" s="4">
        <v>4230100.0</v>
      </c>
      <c r="O8" s="6">
        <v>1941920.0</v>
      </c>
      <c r="P8" s="4">
        <v>2850400.0</v>
      </c>
      <c r="Q8" s="5" t="s">
        <v>45</v>
      </c>
    </row>
    <row r="9">
      <c r="A9" s="2">
        <v>8.0</v>
      </c>
      <c r="B9" s="2" t="s">
        <v>43</v>
      </c>
      <c r="C9" s="2" t="s">
        <v>44</v>
      </c>
      <c r="D9" s="2">
        <v>2023.0</v>
      </c>
      <c r="E9" s="3">
        <v>3.1484837E7</v>
      </c>
      <c r="F9" s="3">
        <v>2.3078542E7</v>
      </c>
      <c r="G9" s="3">
        <v>6820100.0</v>
      </c>
      <c r="H9" s="3">
        <v>1.68502E7</v>
      </c>
      <c r="I9" s="4">
        <v>6890400.0</v>
      </c>
      <c r="J9" s="4">
        <v>2.387512E7</v>
      </c>
      <c r="K9" s="4">
        <v>650200.0</v>
      </c>
      <c r="L9" s="4">
        <v>4210800.0</v>
      </c>
      <c r="M9" s="4">
        <v>4890100.0</v>
      </c>
      <c r="N9" s="4">
        <v>3950200.0</v>
      </c>
      <c r="O9" s="6">
        <v>3194528.0</v>
      </c>
      <c r="P9" s="4">
        <v>4120800.0</v>
      </c>
      <c r="Q9" s="5" t="s">
        <v>46</v>
      </c>
    </row>
    <row r="10">
      <c r="A10" s="2">
        <v>9.0</v>
      </c>
      <c r="B10" s="2" t="s">
        <v>43</v>
      </c>
      <c r="C10" s="2" t="s">
        <v>44</v>
      </c>
      <c r="D10" s="2">
        <v>2024.0</v>
      </c>
      <c r="E10" s="3">
        <v>3.425E7</v>
      </c>
      <c r="F10" s="3">
        <v>2.51E7</v>
      </c>
      <c r="G10" s="3">
        <v>7200000.0</v>
      </c>
      <c r="H10" s="3">
        <v>1.82E7</v>
      </c>
      <c r="I10" s="4">
        <v>7300000.0</v>
      </c>
      <c r="J10" s="4">
        <v>2.58E7</v>
      </c>
      <c r="K10" s="4">
        <v>690000.0</v>
      </c>
      <c r="L10" s="4">
        <v>4600000.0</v>
      </c>
      <c r="M10" s="4">
        <v>5100000.0</v>
      </c>
      <c r="N10" s="4">
        <v>3800000.0</v>
      </c>
      <c r="O10" s="6">
        <v>3350000.0</v>
      </c>
      <c r="P10" s="4">
        <v>4380000.0</v>
      </c>
      <c r="Q10" s="5" t="s">
        <v>47</v>
      </c>
    </row>
    <row r="11">
      <c r="A11" s="2">
        <v>10.0</v>
      </c>
      <c r="B11" s="2" t="s">
        <v>48</v>
      </c>
      <c r="C11" s="2" t="s">
        <v>49</v>
      </c>
      <c r="D11" s="2">
        <v>2022.0</v>
      </c>
      <c r="E11" s="3">
        <v>1.10830272E8</v>
      </c>
      <c r="F11" s="3">
        <v>7.686011E7</v>
      </c>
      <c r="G11" s="3">
        <v>1.42105E7</v>
      </c>
      <c r="H11" s="3">
        <v>5.489012E7</v>
      </c>
      <c r="I11" s="4">
        <v>4.62108E7</v>
      </c>
      <c r="J11" s="4">
        <v>1.8043331E8</v>
      </c>
      <c r="K11" s="4">
        <v>2850100.0</v>
      </c>
      <c r="L11" s="4">
        <v>1.42108E7</v>
      </c>
      <c r="M11" s="4">
        <v>3.12104E7</v>
      </c>
      <c r="N11" s="4">
        <v>5.54201E7</v>
      </c>
      <c r="O11" s="6">
        <v>6350200.0</v>
      </c>
      <c r="P11" s="4">
        <v>1.68902E7</v>
      </c>
      <c r="Q11" s="5" t="s">
        <v>50</v>
      </c>
    </row>
    <row r="12">
      <c r="A12" s="2">
        <v>11.0</v>
      </c>
      <c r="B12" s="2" t="s">
        <v>48</v>
      </c>
      <c r="C12" s="2" t="s">
        <v>49</v>
      </c>
      <c r="D12" s="2">
        <v>2023.0</v>
      </c>
      <c r="E12" s="3">
        <v>1.11704269E8</v>
      </c>
      <c r="F12" s="3">
        <v>7.58901E7</v>
      </c>
      <c r="G12" s="3">
        <v>1.51002E7</v>
      </c>
      <c r="H12" s="3">
        <v>5.82104E7</v>
      </c>
      <c r="I12" s="4">
        <v>4.78901E7</v>
      </c>
      <c r="J12" s="4">
        <v>1.8681012E8</v>
      </c>
      <c r="K12" s="4">
        <v>2980400.0</v>
      </c>
      <c r="L12" s="4">
        <v>1.48902E7</v>
      </c>
      <c r="M12" s="4">
        <v>3.21008E7</v>
      </c>
      <c r="N12" s="4">
        <v>5.41204E7</v>
      </c>
      <c r="O12" s="6">
        <v>8140800.0</v>
      </c>
      <c r="P12" s="4">
        <v>1.92104E7</v>
      </c>
      <c r="Q12" s="5" t="s">
        <v>51</v>
      </c>
    </row>
    <row r="13">
      <c r="A13" s="2">
        <v>12.0</v>
      </c>
      <c r="B13" s="2" t="s">
        <v>48</v>
      </c>
      <c r="C13" s="2" t="s">
        <v>49</v>
      </c>
      <c r="D13" s="2">
        <v>2024.0</v>
      </c>
      <c r="E13" s="3">
        <v>1.185E8</v>
      </c>
      <c r="F13" s="3">
        <v>7.92E7</v>
      </c>
      <c r="G13" s="3">
        <v>1.58E7</v>
      </c>
      <c r="H13" s="3">
        <v>6.21E7</v>
      </c>
      <c r="I13" s="4">
        <v>4.91E7</v>
      </c>
      <c r="J13" s="4">
        <v>1.952E8</v>
      </c>
      <c r="K13" s="4">
        <v>3100000.0</v>
      </c>
      <c r="L13" s="4">
        <v>1.56E7</v>
      </c>
      <c r="M13" s="4">
        <v>3.35E7</v>
      </c>
      <c r="N13" s="4">
        <v>5.28E7</v>
      </c>
      <c r="O13" s="6">
        <v>8850000.0</v>
      </c>
      <c r="P13" s="4">
        <v>2.05E7</v>
      </c>
      <c r="Q13" s="5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4" width="14.0"/>
    <col customWidth="1" min="5" max="8" width="16.0"/>
    <col customWidth="1" min="9" max="9" width="14.0"/>
    <col customWidth="1" min="10" max="10" width="16.43"/>
    <col customWidth="1" min="11" max="11" width="18.14"/>
    <col customWidth="1" min="12" max="12" width="28.57"/>
    <col customWidth="1" min="13" max="13" width="22.57"/>
    <col customWidth="1" min="14" max="14" width="14.14"/>
    <col customWidth="1" min="15" max="15" width="27.43"/>
    <col customWidth="1" min="16" max="16" width="14.57"/>
    <col customWidth="1" min="17" max="17" width="14.0"/>
    <col customWidth="1" min="18" max="18" width="26.0"/>
    <col customWidth="1" min="19" max="26" width="8.71"/>
  </cols>
  <sheetData>
    <row r="1" ht="77.2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31</v>
      </c>
      <c r="R1" s="1" t="s">
        <v>32</v>
      </c>
    </row>
    <row r="2">
      <c r="A2" s="2" t="s">
        <v>33</v>
      </c>
      <c r="B2" s="2">
        <v>2022.0</v>
      </c>
      <c r="C2" s="2">
        <f>IFERROR(SUMIFS('Data Input'!G:G,'Data Input'!$B:$B,$A2,'Data Input'!$D:$D,$B2)/SUMIFS('Data Input'!E:E,'Data Input'!$B:$B,$A2,'Data Input'!$D:$D,$B2),"")</f>
        <v>0.09272765071</v>
      </c>
      <c r="D2" s="2" t="str">
        <f>IFERROR(SUMIFS('Data Input'!G:G,'Data Input'!$B:$B,$A2,'Data Input'!$D:$D,$B2-1)/SUMIFS('Data Input'!E:E,'Data Input'!$B:$B,$A2,'Data Input'!$D:$D,$B2-1),"")</f>
        <v/>
      </c>
      <c r="E2" s="2">
        <f t="shared" ref="E2:E13" si="1">IFERROR(C2-D2,"")</f>
        <v>0.09272765071</v>
      </c>
      <c r="F2" s="2" t="str">
        <f>IFERROR(SUMIFS('Data Input'!E:E,'Data Input'!$B:$B,$A2,'Data Input'!$D:$D,$B2)/SUMIFS('Data Input'!E:E,'Data Input'!$B:$B,$A2,'Data Input'!$D:$D,$B2-1)-1,"")</f>
        <v/>
      </c>
      <c r="G2" s="2" t="str">
        <f>IFERROR(SUMIFS('Data Input'!G:G,'Data Input'!$B:$B,$A2,'Data Input'!$D:$D,$B2)/SUMIFS('Data Input'!G:G,'Data Input'!$B:$B,$A2,'Data Input'!$D:$D,$B2-1)-1,"")</f>
        <v/>
      </c>
      <c r="H2" s="2">
        <f>IFERROR(SUMIFS('Data Input'!O:O,'Data Input'!$B:$B,$A2,'Data Input'!$D:$D,$B2)-SUMIFS('Data Input'!P:P,'Data Input'!$B:$B,$A2,'Data Input'!$D:$D,$B2),"")</f>
        <v>-3118126</v>
      </c>
      <c r="I2" s="2" t="str">
        <f>IFERROR((SUMIFS('Data Input'!G:G,'Data Input'!$B:$B,$A2,'Data Input'!$D:$D,$B2)/SUMIFS('Data Input'!E:E,'Data Input'!$B:$B,$A2,'Data Input'!$D:$D,$B2))/(SUMIFS('Data Input'!G:G,'Data Input'!$B:$B,$A2,'Data Input'!$D:$D,$B2-1)/SUMIFS('Data Input'!E:E,'Data Input'!$B:$B,$A2,'Data Input'!$D:$D,$B2-1)),"")</f>
        <v/>
      </c>
      <c r="J2" s="2" t="str">
        <f>IFERROR(((SUMIFS('Data Input'!E:E,'Data Input'!$B:$B,$A2,'Data Input'!$D:$D,$B2-1)-SUMIFS('Data Input'!F:F,'Data Input'!$B:$B,$A2,'Data Input'!$D:$D,$B2-1))/SUMIFS('Data Input'!E:E,'Data Input'!$B:$B,$A2,'Data Input'!$D:$D,$B2-1))/((SUMIFS('Data Input'!E:E,'Data Input'!$B:$B,$A2,'Data Input'!$D:$D,$B2)-SUMIFS('Data Input'!F:F,'Data Input'!$B:$B,$A2,'Data Input'!$D:$D,$B2))/SUMIFS('Data Input'!E:E,'Data Input'!$B:$B,$A2,'Data Input'!$D:$D,$B2)),"")</f>
        <v/>
      </c>
      <c r="K2" s="2" t="str">
        <f>IFERROR((1-(SUMIFS('Data Input'!H:H,'Data Input'!$B:$B,$A2,'Data Input'!$D:$D,$B2)+SUMIFS('Data Input'!I:I,'Data Input'!$B:$B,$A2,'Data Input'!$D:$D,$B2))/SUMIFS('Data Input'!J:J,'Data Input'!$B:$B,$A2,'Data Input'!$D:$D,$B2))/(1-(SUMIFS('Data Input'!H:H,'Data Input'!$B:$B,$A2,'Data Input'!$D:$D,$B2-1)+SUMIFS('Data Input'!I:I,'Data Input'!$B:$B,$A2,'Data Input'!$D:$D,$B2-1))/SUMIFS('Data Input'!J:J,'Data Input'!$B:$B,$A2,'Data Input'!$D:$D,$B2-1)),"")</f>
        <v/>
      </c>
      <c r="L2" s="2" t="str">
        <f>IFERROR(SUMIFS('Data Input'!E:E,'Data Input'!$B:$B,$A2,'Data Input'!$D:$D,$B2)/SUMIFS('Data Input'!E:E,'Data Input'!$B:$B,$A2,'Data Input'!$D:$D,$B2-1),"")</f>
        <v/>
      </c>
      <c r="M2" s="2" t="str">
        <f>IFERROR((SUMIFS('Data Input'!K:K,'Data Input'!$B:$B,$A2,'Data Input'!$D:$D,$B2-1)/(SUMIFS('Data Input'!K:K,'Data Input'!$B:$B,$A2,'Data Input'!$D:$D,$B2-1)+SUMIFS('Data Input'!I:I,'Data Input'!$B:$B,$A2,'Data Input'!$D:$D,$B2-1)))/(SUMIFS('Data Input'!K:K,'Data Input'!$B:$B,$A2,'Data Input'!$D:$D,$B2)/(SUMIFS('Data Input'!K:K,'Data Input'!$B:$B,$A2,'Data Input'!$D:$D,$B2)+SUMIFS('Data Input'!I:I,'Data Input'!$B:$B,$A2,'Data Input'!$D:$D,$B2))),"")</f>
        <v/>
      </c>
      <c r="N2" s="2" t="str">
        <f>IFERROR((SUMIFS('Data Input'!L:L,'Data Input'!$B:$B,$A2,'Data Input'!$D:$D,$B2)/SUMIFS('Data Input'!E:E,'Data Input'!$B:$B,$A2,'Data Input'!$D:$D,$B2))/(SUMIFS('Data Input'!L:L,'Data Input'!$B:$B,$A2,'Data Input'!$D:$D,$B2-1)/SUMIFS('Data Input'!E:E,'Data Input'!$B:$B,$A2,'Data Input'!$D:$D,$B2-1)),"")</f>
        <v/>
      </c>
      <c r="O2" s="2" t="str">
        <f>IFERROR(((SUMIFS('Data Input'!M:M,'Data Input'!$B:$B,$A2,'Data Input'!$D:$D,$B2)+SUMIFS('Data Input'!N:N,'Data Input'!$B:$B,$A2,'Data Input'!$D:$D,$B2))/SUMIFS('Data Input'!J:J,'Data Input'!$B:$B,$A2,'Data Input'!$D:$D,$B2))/((SUMIFS('Data Input'!M:M,'Data Input'!$B:$B,$A2,'Data Input'!$D:$D,$B2-1)+SUMIFS('Data Input'!N:N,'Data Input'!$B:$B,$A2,'Data Input'!$D:$D,$B2-1))/SUMIFS('Data Input'!J:J,'Data Input'!$B:$B,$A2,'Data Input'!$D:$D,$B2-1)),"")</f>
        <v/>
      </c>
      <c r="P2" s="2">
        <f>IFERROR((SUMIFS('Data Input'!O:O,'Data Input'!$B:$B,$A2,'Data Input'!$D:$D,$B2)-SUMIFS('Data Input'!P:P,'Data Input'!$B:$B,$A2,'Data Input'!$D:$D,$B2))/SUMIFS('Data Input'!J:J,'Data Input'!$B:$B,$A2,'Data Input'!$D:$D,$B2),"")</f>
        <v>-0.1702201368</v>
      </c>
      <c r="Q2" s="7">
        <f t="shared" ref="Q2:Q13" si="2">IFERROR(-4.84+0.92*I2+0.528*J2+0.404*K2+0.892*L2+0.115*M2-0.172*N2-0.327*O2+4.679*P2,"")</f>
        <v>-5.63646002</v>
      </c>
      <c r="R2" s="8" t="str">
        <f t="shared" ref="R2:R13" si="3">IF(Q2="","Data belum lengkap",IF(Q2&gt;-1.78,"Indikasi Tinggi","Indikasi Rendah"))</f>
        <v>Indikasi Rendah</v>
      </c>
    </row>
    <row r="3">
      <c r="A3" s="2" t="s">
        <v>33</v>
      </c>
      <c r="B3" s="2">
        <v>2023.0</v>
      </c>
      <c r="C3" s="2">
        <f>IFERROR(SUMIFS('Data Input'!G:G,'Data Input'!$B:$B,$A3,'Data Input'!$D:$D,$B3)/SUMIFS('Data Input'!E:E,'Data Input'!$B:$B,$A3,'Data Input'!$D:$D,$B3),"")</f>
        <v>0.08802758496</v>
      </c>
      <c r="D3" s="2">
        <f>IFERROR(SUMIFS('Data Input'!G:G,'Data Input'!$B:$B,$A3,'Data Input'!$D:$D,$B3-1)/SUMIFS('Data Input'!E:E,'Data Input'!$B:$B,$A3,'Data Input'!$D:$D,$B3-1),"")</f>
        <v>0.09272765071</v>
      </c>
      <c r="E3" s="2">
        <f t="shared" si="1"/>
        <v>-0.004700065749</v>
      </c>
      <c r="F3" s="2">
        <f>IFERROR(SUMIFS('Data Input'!E:E,'Data Input'!$B:$B,$A3,'Data Input'!$D:$D,$B3)/SUMIFS('Data Input'!E:E,'Data Input'!$B:$B,$A3,'Data Input'!$D:$D,$B3-1)-1,"")</f>
        <v>-0.06333497991</v>
      </c>
      <c r="G3" s="2">
        <f>IFERROR(SUMIFS('Data Input'!G:G,'Data Input'!$B:$B,$A3,'Data Input'!$D:$D,$B3)/SUMIFS('Data Input'!G:G,'Data Input'!$B:$B,$A3,'Data Input'!$D:$D,$B3-1)-1,"")</f>
        <v>-0.1108115109</v>
      </c>
      <c r="H3" s="2">
        <f>IFERROR(SUMIFS('Data Input'!O:O,'Data Input'!$B:$B,$A3,'Data Input'!$D:$D,$B3)-SUMIFS('Data Input'!P:P,'Data Input'!$B:$B,$A3,'Data Input'!$D:$D,$B3),"")</f>
        <v>-1075055</v>
      </c>
      <c r="I3" s="2">
        <f>IFERROR((SUMIFS('Data Input'!G:G,'Data Input'!$B:$B,$A3,'Data Input'!$D:$D,$B3)/SUMIFS('Data Input'!E:E,'Data Input'!$B:$B,$A3,'Data Input'!$D:$D,$B3))/(SUMIFS('Data Input'!G:G,'Data Input'!$B:$B,$A3,'Data Input'!$D:$D,$B3-1)/SUMIFS('Data Input'!E:E,'Data Input'!$B:$B,$A3,'Data Input'!$D:$D,$B3-1)),"")</f>
        <v>0.949313223</v>
      </c>
      <c r="J3" s="2">
        <f>IFERROR(((SUMIFS('Data Input'!E:E,'Data Input'!$B:$B,$A3,'Data Input'!$D:$D,$B3-1)-SUMIFS('Data Input'!F:F,'Data Input'!$B:$B,$A3,'Data Input'!$D:$D,$B3-1))/SUMIFS('Data Input'!E:E,'Data Input'!$B:$B,$A3,'Data Input'!$D:$D,$B3-1))/((SUMIFS('Data Input'!E:E,'Data Input'!$B:$B,$A3,'Data Input'!$D:$D,$B3)-SUMIFS('Data Input'!F:F,'Data Input'!$B:$B,$A3,'Data Input'!$D:$D,$B3))/SUMIFS('Data Input'!E:E,'Data Input'!$B:$B,$A3,'Data Input'!$D:$D,$B3)),"")</f>
        <v>0.9306068886</v>
      </c>
      <c r="K3" s="2">
        <f>IFERROR((1-(SUMIFS('Data Input'!H:H,'Data Input'!$B:$B,$A3,'Data Input'!$D:$D,$B3)+SUMIFS('Data Input'!I:I,'Data Input'!$B:$B,$A3,'Data Input'!$D:$D,$B3))/SUMIFS('Data Input'!J:J,'Data Input'!$B:$B,$A3,'Data Input'!$D:$D,$B3))/(1-(SUMIFS('Data Input'!H:H,'Data Input'!$B:$B,$A3,'Data Input'!$D:$D,$B3-1)+SUMIFS('Data Input'!I:I,'Data Input'!$B:$B,$A3,'Data Input'!$D:$D,$B3-1))/SUMIFS('Data Input'!J:J,'Data Input'!$B:$B,$A3,'Data Input'!$D:$D,$B3-1)),"")</f>
        <v>0.125215901</v>
      </c>
      <c r="L3" s="2">
        <f>IFERROR(SUMIFS('Data Input'!E:E,'Data Input'!$B:$B,$A3,'Data Input'!$D:$D,$B3)/SUMIFS('Data Input'!E:E,'Data Input'!$B:$B,$A3,'Data Input'!$D:$D,$B3-1),"")</f>
        <v>0.9366650201</v>
      </c>
      <c r="M3" s="2">
        <f>IFERROR((SUMIFS('Data Input'!K:K,'Data Input'!$B:$B,$A3,'Data Input'!$D:$D,$B3-1)/(SUMIFS('Data Input'!K:K,'Data Input'!$B:$B,$A3,'Data Input'!$D:$D,$B3-1)+SUMIFS('Data Input'!I:I,'Data Input'!$B:$B,$A3,'Data Input'!$D:$D,$B3-1)))/(SUMIFS('Data Input'!K:K,'Data Input'!$B:$B,$A3,'Data Input'!$D:$D,$B3)/(SUMIFS('Data Input'!K:K,'Data Input'!$B:$B,$A3,'Data Input'!$D:$D,$B3)+SUMIFS('Data Input'!I:I,'Data Input'!$B:$B,$A3,'Data Input'!$D:$D,$B3))),"")</f>
        <v>0.9546880455</v>
      </c>
      <c r="N3" s="2">
        <f>IFERROR((SUMIFS('Data Input'!L:L,'Data Input'!$B:$B,$A3,'Data Input'!$D:$D,$B3)/SUMIFS('Data Input'!E:E,'Data Input'!$B:$B,$A3,'Data Input'!$D:$D,$B3))/(SUMIFS('Data Input'!L:L,'Data Input'!$B:$B,$A3,'Data Input'!$D:$D,$B3-1)/SUMIFS('Data Input'!E:E,'Data Input'!$B:$B,$A3,'Data Input'!$D:$D,$B3-1)),"")</f>
        <v>1.042939293</v>
      </c>
      <c r="O3" s="2">
        <f>IFERROR(((SUMIFS('Data Input'!M:M,'Data Input'!$B:$B,$A3,'Data Input'!$D:$D,$B3)+SUMIFS('Data Input'!N:N,'Data Input'!$B:$B,$A3,'Data Input'!$D:$D,$B3))/SUMIFS('Data Input'!J:J,'Data Input'!$B:$B,$A3,'Data Input'!$D:$D,$B3))/((SUMIFS('Data Input'!M:M,'Data Input'!$B:$B,$A3,'Data Input'!$D:$D,$B3-1)+SUMIFS('Data Input'!N:N,'Data Input'!$B:$B,$A3,'Data Input'!$D:$D,$B3-1))/SUMIFS('Data Input'!J:J,'Data Input'!$B:$B,$A3,'Data Input'!$D:$D,$B3-1)),"")</f>
        <v>0.926675246</v>
      </c>
      <c r="P3" s="2">
        <f>IFERROR((SUMIFS('Data Input'!O:O,'Data Input'!$B:$B,$A3,'Data Input'!$D:$D,$B3)-SUMIFS('Data Input'!P:P,'Data Input'!$B:$B,$A3,'Data Input'!$D:$D,$B3))/SUMIFS('Data Input'!J:J,'Data Input'!$B:$B,$A3,'Data Input'!$D:$D,$B3),"")</f>
        <v>-0.06451397835</v>
      </c>
      <c r="Q3" s="7">
        <f t="shared" si="2"/>
        <v>-3.263659119</v>
      </c>
      <c r="R3" s="8" t="str">
        <f t="shared" si="3"/>
        <v>Indikasi Rendah</v>
      </c>
    </row>
    <row r="4">
      <c r="A4" s="2" t="s">
        <v>33</v>
      </c>
      <c r="B4" s="2">
        <v>2024.0</v>
      </c>
      <c r="C4" s="2">
        <f>IFERROR(SUMIFS('Data Input'!G:G,'Data Input'!$B:$B,$A4,'Data Input'!$D:$D,$B4)/SUMIFS('Data Input'!E:E,'Data Input'!$B:$B,$A4,'Data Input'!$D:$D,$B4),"")</f>
        <v>0.08968482191</v>
      </c>
      <c r="D4" s="2">
        <f>IFERROR(SUMIFS('Data Input'!G:G,'Data Input'!$B:$B,$A4,'Data Input'!$D:$D,$B4-1)/SUMIFS('Data Input'!E:E,'Data Input'!$B:$B,$A4,'Data Input'!$D:$D,$B4-1),"")</f>
        <v>0.08802758496</v>
      </c>
      <c r="E4" s="2">
        <f t="shared" si="1"/>
        <v>0.001657236951</v>
      </c>
      <c r="F4" s="2">
        <f>IFERROR(SUMIFS('Data Input'!E:E,'Data Input'!$B:$B,$A4,'Data Input'!$D:$D,$B4)/SUMIFS('Data Input'!E:E,'Data Input'!$B:$B,$A4,'Data Input'!$D:$D,$B4-1)-1,"")</f>
        <v>-0.090272958</v>
      </c>
      <c r="G4" s="2">
        <f>IFERROR(SUMIFS('Data Input'!G:G,'Data Input'!$B:$B,$A4,'Data Input'!$D:$D,$B4)/SUMIFS('Data Input'!G:G,'Data Input'!$B:$B,$A4,'Data Input'!$D:$D,$B4-1)-1,"")</f>
        <v>-0.07314613043</v>
      </c>
      <c r="H4" s="2">
        <f>IFERROR(SUMIFS('Data Input'!O:O,'Data Input'!$B:$B,$A4,'Data Input'!$D:$D,$B4)-SUMIFS('Data Input'!P:P,'Data Input'!$B:$B,$A4,'Data Input'!$D:$D,$B4),"")</f>
        <v>-1870000</v>
      </c>
      <c r="I4" s="2">
        <f>IFERROR((SUMIFS('Data Input'!G:G,'Data Input'!$B:$B,$A4,'Data Input'!$D:$D,$B4)/SUMIFS('Data Input'!E:E,'Data Input'!$B:$B,$A4,'Data Input'!$D:$D,$B4))/(SUMIFS('Data Input'!G:G,'Data Input'!$B:$B,$A4,'Data Input'!$D:$D,$B4-1)/SUMIFS('Data Input'!E:E,'Data Input'!$B:$B,$A4,'Data Input'!$D:$D,$B4-1)),"")</f>
        <v>1.018826337</v>
      </c>
      <c r="J4" s="2">
        <f>IFERROR(((SUMIFS('Data Input'!E:E,'Data Input'!$B:$B,$A4,'Data Input'!$D:$D,$B4-1)-SUMIFS('Data Input'!F:F,'Data Input'!$B:$B,$A4,'Data Input'!$D:$D,$B4-1))/SUMIFS('Data Input'!E:E,'Data Input'!$B:$B,$A4,'Data Input'!$D:$D,$B4-1))/((SUMIFS('Data Input'!E:E,'Data Input'!$B:$B,$A4,'Data Input'!$D:$D,$B4)-SUMIFS('Data Input'!F:F,'Data Input'!$B:$B,$A4,'Data Input'!$D:$D,$B4))/SUMIFS('Data Input'!E:E,'Data Input'!$B:$B,$A4,'Data Input'!$D:$D,$B4)),"")</f>
        <v>1.032777326</v>
      </c>
      <c r="K4" s="2">
        <f>IFERROR((1-(SUMIFS('Data Input'!H:H,'Data Input'!$B:$B,$A4,'Data Input'!$D:$D,$B4)+SUMIFS('Data Input'!I:I,'Data Input'!$B:$B,$A4,'Data Input'!$D:$D,$B4))/SUMIFS('Data Input'!J:J,'Data Input'!$B:$B,$A4,'Data Input'!$D:$D,$B4))/(1-(SUMIFS('Data Input'!H:H,'Data Input'!$B:$B,$A4,'Data Input'!$D:$D,$B4-1)+SUMIFS('Data Input'!I:I,'Data Input'!$B:$B,$A4,'Data Input'!$D:$D,$B4-1))/SUMIFS('Data Input'!J:J,'Data Input'!$B:$B,$A4,'Data Input'!$D:$D,$B4-1)),"")</f>
        <v>0</v>
      </c>
      <c r="L4" s="2">
        <f>IFERROR(SUMIFS('Data Input'!E:E,'Data Input'!$B:$B,$A4,'Data Input'!$D:$D,$B4)/SUMIFS('Data Input'!E:E,'Data Input'!$B:$B,$A4,'Data Input'!$D:$D,$B4-1),"")</f>
        <v>0.909727042</v>
      </c>
      <c r="M4" s="2">
        <f>IFERROR((SUMIFS('Data Input'!K:K,'Data Input'!$B:$B,$A4,'Data Input'!$D:$D,$B4-1)/(SUMIFS('Data Input'!K:K,'Data Input'!$B:$B,$A4,'Data Input'!$D:$D,$B4-1)+SUMIFS('Data Input'!I:I,'Data Input'!$B:$B,$A4,'Data Input'!$D:$D,$B4-1)))/(SUMIFS('Data Input'!K:K,'Data Input'!$B:$B,$A4,'Data Input'!$D:$D,$B4)/(SUMIFS('Data Input'!K:K,'Data Input'!$B:$B,$A4,'Data Input'!$D:$D,$B4)+SUMIFS('Data Input'!I:I,'Data Input'!$B:$B,$A4,'Data Input'!$D:$D,$B4))),"")</f>
        <v>0.9718045939</v>
      </c>
      <c r="N4" s="2">
        <f>IFERROR((SUMIFS('Data Input'!L:L,'Data Input'!$B:$B,$A4,'Data Input'!$D:$D,$B4)/SUMIFS('Data Input'!E:E,'Data Input'!$B:$B,$A4,'Data Input'!$D:$D,$B4))/(SUMIFS('Data Input'!L:L,'Data Input'!$B:$B,$A4,'Data Input'!$D:$D,$B4-1)/SUMIFS('Data Input'!E:E,'Data Input'!$B:$B,$A4,'Data Input'!$D:$D,$B4-1)),"")</f>
        <v>1.051352865</v>
      </c>
      <c r="O4" s="2">
        <f>IFERROR(((SUMIFS('Data Input'!M:M,'Data Input'!$B:$B,$A4,'Data Input'!$D:$D,$B4)+SUMIFS('Data Input'!N:N,'Data Input'!$B:$B,$A4,'Data Input'!$D:$D,$B4))/SUMIFS('Data Input'!J:J,'Data Input'!$B:$B,$A4,'Data Input'!$D:$D,$B4))/((SUMIFS('Data Input'!M:M,'Data Input'!$B:$B,$A4,'Data Input'!$D:$D,$B4-1)+SUMIFS('Data Input'!N:N,'Data Input'!$B:$B,$A4,'Data Input'!$D:$D,$B4-1))/SUMIFS('Data Input'!J:J,'Data Input'!$B:$B,$A4,'Data Input'!$D:$D,$B4-1)),"")</f>
        <v>0.9871877978</v>
      </c>
      <c r="P4" s="2">
        <f>IFERROR((SUMIFS('Data Input'!O:O,'Data Input'!$B:$B,$A4,'Data Input'!$D:$D,$B4)-SUMIFS('Data Input'!P:P,'Data Input'!$B:$B,$A4,'Data Input'!$D:$D,$B4))/SUMIFS('Data Input'!J:J,'Data Input'!$B:$B,$A4,'Data Input'!$D:$D,$B4),"")</f>
        <v>-0.1183544304</v>
      </c>
      <c r="Q4" s="7">
        <f t="shared" si="2"/>
        <v>-3.491562775</v>
      </c>
      <c r="R4" s="8" t="str">
        <f t="shared" si="3"/>
        <v>Indikasi Rendah</v>
      </c>
    </row>
    <row r="5">
      <c r="A5" s="2" t="s">
        <v>38</v>
      </c>
      <c r="B5" s="2">
        <v>2022.0</v>
      </c>
      <c r="C5" s="2">
        <f>IFERROR(SUMIFS('Data Input'!G:G,'Data Input'!$B:$B,$A5,'Data Input'!$D:$D,$B5)/SUMIFS('Data Input'!E:E,'Data Input'!$B:$B,$A5,'Data Input'!$D:$D,$B5),"")</f>
        <v>0.1101458383</v>
      </c>
      <c r="D5" s="2" t="str">
        <f>IFERROR(SUMIFS('Data Input'!G:G,'Data Input'!$B:$B,$A5,'Data Input'!$D:$D,$B5-1)/SUMIFS('Data Input'!E:E,'Data Input'!$B:$B,$A5,'Data Input'!$D:$D,$B5-1),"")</f>
        <v/>
      </c>
      <c r="E5" s="2">
        <f t="shared" si="1"/>
        <v>0.1101458383</v>
      </c>
      <c r="F5" s="2" t="str">
        <f>IFERROR(SUMIFS('Data Input'!E:E,'Data Input'!$B:$B,$A5,'Data Input'!$D:$D,$B5)/SUMIFS('Data Input'!E:E,'Data Input'!$B:$B,$A5,'Data Input'!$D:$D,$B5-1)-1,"")</f>
        <v/>
      </c>
      <c r="G5" s="2" t="str">
        <f>IFERROR(SUMIFS('Data Input'!G:G,'Data Input'!$B:$B,$A5,'Data Input'!$D:$D,$B5)/SUMIFS('Data Input'!G:G,'Data Input'!$B:$B,$A5,'Data Input'!$D:$D,$B5-1)-1,"")</f>
        <v/>
      </c>
      <c r="H5" s="2">
        <f>IFERROR(SUMIFS('Data Input'!O:O,'Data Input'!$B:$B,$A5,'Data Input'!$D:$D,$B5)-SUMIFS('Data Input'!P:P,'Data Input'!$B:$B,$A5,'Data Input'!$D:$D,$B5),"")</f>
        <v>-6625890</v>
      </c>
      <c r="I5" s="2" t="str">
        <f>IFERROR((SUMIFS('Data Input'!G:G,'Data Input'!$B:$B,$A5,'Data Input'!$D:$D,$B5)/SUMIFS('Data Input'!E:E,'Data Input'!$B:$B,$A5,'Data Input'!$D:$D,$B5))/(SUMIFS('Data Input'!G:G,'Data Input'!$B:$B,$A5,'Data Input'!$D:$D,$B5-1)/SUMIFS('Data Input'!E:E,'Data Input'!$B:$B,$A5,'Data Input'!$D:$D,$B5-1)),"")</f>
        <v/>
      </c>
      <c r="J5" s="2" t="str">
        <f>IFERROR(((SUMIFS('Data Input'!E:E,'Data Input'!$B:$B,$A5,'Data Input'!$D:$D,$B5-1)-SUMIFS('Data Input'!F:F,'Data Input'!$B:$B,$A5,'Data Input'!$D:$D,$B5-1))/SUMIFS('Data Input'!E:E,'Data Input'!$B:$B,$A5,'Data Input'!$D:$D,$B5-1))/((SUMIFS('Data Input'!E:E,'Data Input'!$B:$B,$A5,'Data Input'!$D:$D,$B5)-SUMIFS('Data Input'!F:F,'Data Input'!$B:$B,$A5,'Data Input'!$D:$D,$B5))/SUMIFS('Data Input'!E:E,'Data Input'!$B:$B,$A5,'Data Input'!$D:$D,$B5)),"")</f>
        <v/>
      </c>
      <c r="K5" s="2" t="str">
        <f>IFERROR((1-(SUMIFS('Data Input'!H:H,'Data Input'!$B:$B,$A5,'Data Input'!$D:$D,$B5)+SUMIFS('Data Input'!I:I,'Data Input'!$B:$B,$A5,'Data Input'!$D:$D,$B5))/SUMIFS('Data Input'!J:J,'Data Input'!$B:$B,$A5,'Data Input'!$D:$D,$B5))/(1-(SUMIFS('Data Input'!H:H,'Data Input'!$B:$B,$A5,'Data Input'!$D:$D,$B5-1)+SUMIFS('Data Input'!I:I,'Data Input'!$B:$B,$A5,'Data Input'!$D:$D,$B5-1))/SUMIFS('Data Input'!J:J,'Data Input'!$B:$B,$A5,'Data Input'!$D:$D,$B5-1)),"")</f>
        <v/>
      </c>
      <c r="L5" s="2" t="str">
        <f>IFERROR(SUMIFS('Data Input'!E:E,'Data Input'!$B:$B,$A5,'Data Input'!$D:$D,$B5)/SUMIFS('Data Input'!E:E,'Data Input'!$B:$B,$A5,'Data Input'!$D:$D,$B5-1),"")</f>
        <v/>
      </c>
      <c r="M5" s="2" t="str">
        <f>IFERROR((SUMIFS('Data Input'!K:K,'Data Input'!$B:$B,$A5,'Data Input'!$D:$D,$B5-1)/(SUMIFS('Data Input'!K:K,'Data Input'!$B:$B,$A5,'Data Input'!$D:$D,$B5-1)+SUMIFS('Data Input'!I:I,'Data Input'!$B:$B,$A5,'Data Input'!$D:$D,$B5-1)))/(SUMIFS('Data Input'!K:K,'Data Input'!$B:$B,$A5,'Data Input'!$D:$D,$B5)/(SUMIFS('Data Input'!K:K,'Data Input'!$B:$B,$A5,'Data Input'!$D:$D,$B5)+SUMIFS('Data Input'!I:I,'Data Input'!$B:$B,$A5,'Data Input'!$D:$D,$B5))),"")</f>
        <v/>
      </c>
      <c r="N5" s="2" t="str">
        <f>IFERROR((SUMIFS('Data Input'!L:L,'Data Input'!$B:$B,$A5,'Data Input'!$D:$D,$B5)/SUMIFS('Data Input'!E:E,'Data Input'!$B:$B,$A5,'Data Input'!$D:$D,$B5))/(SUMIFS('Data Input'!L:L,'Data Input'!$B:$B,$A5,'Data Input'!$D:$D,$B5-1)/SUMIFS('Data Input'!E:E,'Data Input'!$B:$B,$A5,'Data Input'!$D:$D,$B5-1)),"")</f>
        <v/>
      </c>
      <c r="O5" s="2" t="str">
        <f>IFERROR(((SUMIFS('Data Input'!M:M,'Data Input'!$B:$B,$A5,'Data Input'!$D:$D,$B5)+SUMIFS('Data Input'!N:N,'Data Input'!$B:$B,$A5,'Data Input'!$D:$D,$B5))/SUMIFS('Data Input'!J:J,'Data Input'!$B:$B,$A5,'Data Input'!$D:$D,$B5))/((SUMIFS('Data Input'!M:M,'Data Input'!$B:$B,$A5,'Data Input'!$D:$D,$B5-1)+SUMIFS('Data Input'!N:N,'Data Input'!$B:$B,$A5,'Data Input'!$D:$D,$B5-1))/SUMIFS('Data Input'!J:J,'Data Input'!$B:$B,$A5,'Data Input'!$D:$D,$B5-1)),"")</f>
        <v/>
      </c>
      <c r="P5" s="2">
        <f>IFERROR((SUMIFS('Data Input'!O:O,'Data Input'!$B:$B,$A5,'Data Input'!$D:$D,$B5)-SUMIFS('Data Input'!P:P,'Data Input'!$B:$B,$A5,'Data Input'!$D:$D,$B5))/SUMIFS('Data Input'!J:J,'Data Input'!$B:$B,$A5,'Data Input'!$D:$D,$B5),"")</f>
        <v>-0.05746376505</v>
      </c>
      <c r="Q5" s="7">
        <f t="shared" si="2"/>
        <v>-5.108872957</v>
      </c>
      <c r="R5" s="8" t="str">
        <f t="shared" si="3"/>
        <v>Indikasi Rendah</v>
      </c>
    </row>
    <row r="6">
      <c r="A6" s="2" t="s">
        <v>38</v>
      </c>
      <c r="B6" s="2">
        <v>2023.0</v>
      </c>
      <c r="C6" s="2">
        <f>IFERROR(SUMIFS('Data Input'!G:G,'Data Input'!$B:$B,$A6,'Data Input'!$D:$D,$B6)/SUMIFS('Data Input'!E:E,'Data Input'!$B:$B,$A6,'Data Input'!$D:$D,$B6),"")</f>
        <v>0.1161934817</v>
      </c>
      <c r="D6" s="2">
        <f>IFERROR(SUMIFS('Data Input'!G:G,'Data Input'!$B:$B,$A6,'Data Input'!$D:$D,$B6-1)/SUMIFS('Data Input'!E:E,'Data Input'!$B:$B,$A6,'Data Input'!$D:$D,$B6-1),"")</f>
        <v>0.1101458383</v>
      </c>
      <c r="E6" s="2">
        <f t="shared" si="1"/>
        <v>0.006047643393</v>
      </c>
      <c r="F6" s="2">
        <f>IFERROR(SUMIFS('Data Input'!E:E,'Data Input'!$B:$B,$A6,'Data Input'!$D:$D,$B6)/SUMIFS('Data Input'!E:E,'Data Input'!$B:$B,$A6,'Data Input'!$D:$D,$B6-1)-1,"")</f>
        <v>0.04795246135</v>
      </c>
      <c r="G6" s="2">
        <f>IFERROR(SUMIFS('Data Input'!G:G,'Data Input'!$B:$B,$A6,'Data Input'!$D:$D,$B6)/SUMIFS('Data Input'!G:G,'Data Input'!$B:$B,$A6,'Data Input'!$D:$D,$B6-1)-1,"")</f>
        <v>0.1054911108</v>
      </c>
      <c r="H6" s="2">
        <f>IFERROR(SUMIFS('Data Input'!O:O,'Data Input'!$B:$B,$A6,'Data Input'!$D:$D,$B6)-SUMIFS('Data Input'!P:P,'Data Input'!$B:$B,$A6,'Data Input'!$D:$D,$B6),"")</f>
        <v>-6860410</v>
      </c>
      <c r="I6" s="2">
        <f>IFERROR((SUMIFS('Data Input'!G:G,'Data Input'!$B:$B,$A6,'Data Input'!$D:$D,$B6)/SUMIFS('Data Input'!E:E,'Data Input'!$B:$B,$A6,'Data Input'!$D:$D,$B6))/(SUMIFS('Data Input'!G:G,'Data Input'!$B:$B,$A6,'Data Input'!$D:$D,$B6-1)/SUMIFS('Data Input'!E:E,'Data Input'!$B:$B,$A6,'Data Input'!$D:$D,$B6-1)),"")</f>
        <v>1.054905782</v>
      </c>
      <c r="J6" s="2">
        <f>IFERROR(((SUMIFS('Data Input'!E:E,'Data Input'!$B:$B,$A6,'Data Input'!$D:$D,$B6-1)-SUMIFS('Data Input'!F:F,'Data Input'!$B:$B,$A6,'Data Input'!$D:$D,$B6-1))/SUMIFS('Data Input'!E:E,'Data Input'!$B:$B,$A6,'Data Input'!$D:$D,$B6-1))/((SUMIFS('Data Input'!E:E,'Data Input'!$B:$B,$A6,'Data Input'!$D:$D,$B6)-SUMIFS('Data Input'!F:F,'Data Input'!$B:$B,$A6,'Data Input'!$D:$D,$B6))/SUMIFS('Data Input'!E:E,'Data Input'!$B:$B,$A6,'Data Input'!$D:$D,$B6)),"")</f>
        <v>0.9166771311</v>
      </c>
      <c r="K6" s="2">
        <f>IFERROR((1-(SUMIFS('Data Input'!H:H,'Data Input'!$B:$B,$A6,'Data Input'!$D:$D,$B6)+SUMIFS('Data Input'!I:I,'Data Input'!$B:$B,$A6,'Data Input'!$D:$D,$B6))/SUMIFS('Data Input'!J:J,'Data Input'!$B:$B,$A6,'Data Input'!$D:$D,$B6))/(1-(SUMIFS('Data Input'!H:H,'Data Input'!$B:$B,$A6,'Data Input'!$D:$D,$B6-1)+SUMIFS('Data Input'!I:I,'Data Input'!$B:$B,$A6,'Data Input'!$D:$D,$B6-1))/SUMIFS('Data Input'!J:J,'Data Input'!$B:$B,$A6,'Data Input'!$D:$D,$B6-1)),"")</f>
        <v>0.9702972291</v>
      </c>
      <c r="L6" s="2">
        <f>IFERROR(SUMIFS('Data Input'!E:E,'Data Input'!$B:$B,$A6,'Data Input'!$D:$D,$B6)/SUMIFS('Data Input'!E:E,'Data Input'!$B:$B,$A6,'Data Input'!$D:$D,$B6-1),"")</f>
        <v>1.047952461</v>
      </c>
      <c r="M6" s="2">
        <f>IFERROR((SUMIFS('Data Input'!K:K,'Data Input'!$B:$B,$A6,'Data Input'!$D:$D,$B6-1)/(SUMIFS('Data Input'!K:K,'Data Input'!$B:$B,$A6,'Data Input'!$D:$D,$B6-1)+SUMIFS('Data Input'!I:I,'Data Input'!$B:$B,$A6,'Data Input'!$D:$D,$B6-1)))/(SUMIFS('Data Input'!K:K,'Data Input'!$B:$B,$A6,'Data Input'!$D:$D,$B6)/(SUMIFS('Data Input'!K:K,'Data Input'!$B:$B,$A6,'Data Input'!$D:$D,$B6)+SUMIFS('Data Input'!I:I,'Data Input'!$B:$B,$A6,'Data Input'!$D:$D,$B6))),"")</f>
        <v>0.966170746</v>
      </c>
      <c r="N6" s="2">
        <f>IFERROR((SUMIFS('Data Input'!L:L,'Data Input'!$B:$B,$A6,'Data Input'!$D:$D,$B6)/SUMIFS('Data Input'!E:E,'Data Input'!$B:$B,$A6,'Data Input'!$D:$D,$B6))/(SUMIFS('Data Input'!L:L,'Data Input'!$B:$B,$A6,'Data Input'!$D:$D,$B6-1)/SUMIFS('Data Input'!E:E,'Data Input'!$B:$B,$A6,'Data Input'!$D:$D,$B6-1)),"")</f>
        <v>1.015520727</v>
      </c>
      <c r="O6" s="2">
        <f>IFERROR(((SUMIFS('Data Input'!M:M,'Data Input'!$B:$B,$A6,'Data Input'!$D:$D,$B6)+SUMIFS('Data Input'!N:N,'Data Input'!$B:$B,$A6,'Data Input'!$D:$D,$B6))/SUMIFS('Data Input'!J:J,'Data Input'!$B:$B,$A6,'Data Input'!$D:$D,$B6))/((SUMIFS('Data Input'!M:M,'Data Input'!$B:$B,$A6,'Data Input'!$D:$D,$B6-1)+SUMIFS('Data Input'!N:N,'Data Input'!$B:$B,$A6,'Data Input'!$D:$D,$B6-1))/SUMIFS('Data Input'!J:J,'Data Input'!$B:$B,$A6,'Data Input'!$D:$D,$B6-1)),"")</f>
        <v>0.9647921615</v>
      </c>
      <c r="P6" s="2">
        <f>IFERROR((SUMIFS('Data Input'!O:O,'Data Input'!$B:$B,$A6,'Data Input'!$D:$D,$B6)-SUMIFS('Data Input'!P:P,'Data Input'!$B:$B,$A6,'Data Input'!$D:$D,$B6))/SUMIFS('Data Input'!J:J,'Data Input'!$B:$B,$A6,'Data Input'!$D:$D,$B6),"")</f>
        <v>-0.05752391726</v>
      </c>
      <c r="Q6" s="7">
        <f t="shared" si="2"/>
        <v>-2.706908854</v>
      </c>
      <c r="R6" s="8" t="str">
        <f t="shared" si="3"/>
        <v>Indikasi Rendah</v>
      </c>
    </row>
    <row r="7">
      <c r="A7" s="2" t="s">
        <v>38</v>
      </c>
      <c r="B7" s="2">
        <v>2024.0</v>
      </c>
      <c r="C7" s="2">
        <f>IFERROR(SUMIFS('Data Input'!G:G,'Data Input'!$B:$B,$A7,'Data Input'!$D:$D,$B7)/SUMIFS('Data Input'!E:E,'Data Input'!$B:$B,$A7,'Data Input'!$D:$D,$B7),"")</f>
        <v>0.1136521137</v>
      </c>
      <c r="D7" s="2">
        <f>IFERROR(SUMIFS('Data Input'!G:G,'Data Input'!$B:$B,$A7,'Data Input'!$D:$D,$B7-1)/SUMIFS('Data Input'!E:E,'Data Input'!$B:$B,$A7,'Data Input'!$D:$D,$B7-1),"")</f>
        <v>0.1161934817</v>
      </c>
      <c r="E7" s="2">
        <f t="shared" si="1"/>
        <v>-0.002541368025</v>
      </c>
      <c r="F7" s="2">
        <f>IFERROR(SUMIFS('Data Input'!E:E,'Data Input'!$B:$B,$A7,'Data Input'!$D:$D,$B7)/SUMIFS('Data Input'!E:E,'Data Input'!$B:$B,$A7,'Data Input'!$D:$D,$B7-1)-1,"")</f>
        <v>0.06251358699</v>
      </c>
      <c r="G7" s="2">
        <f>IFERROR(SUMIFS('Data Input'!G:G,'Data Input'!$B:$B,$A7,'Data Input'!$D:$D,$B7)/SUMIFS('Data Input'!G:G,'Data Input'!$B:$B,$A7,'Data Input'!$D:$D,$B7-1)-1,"")</f>
        <v>0.03927443436</v>
      </c>
      <c r="H7" s="2">
        <f>IFERROR(SUMIFS('Data Input'!O:O,'Data Input'!$B:$B,$A7,'Data Input'!$D:$D,$B7)-SUMIFS('Data Input'!P:P,'Data Input'!$B:$B,$A7,'Data Input'!$D:$D,$B7),"")</f>
        <v>-7120000</v>
      </c>
      <c r="I7" s="2">
        <f>IFERROR((SUMIFS('Data Input'!G:G,'Data Input'!$B:$B,$A7,'Data Input'!$D:$D,$B7)/SUMIFS('Data Input'!E:E,'Data Input'!$B:$B,$A7,'Data Input'!$D:$D,$B7))/(SUMIFS('Data Input'!G:G,'Data Input'!$B:$B,$A7,'Data Input'!$D:$D,$B7-1)/SUMIFS('Data Input'!E:E,'Data Input'!$B:$B,$A7,'Data Input'!$D:$D,$B7-1)),"")</f>
        <v>0.978128136</v>
      </c>
      <c r="J7" s="2">
        <f>IFERROR(((SUMIFS('Data Input'!E:E,'Data Input'!$B:$B,$A7,'Data Input'!$D:$D,$B7-1)-SUMIFS('Data Input'!F:F,'Data Input'!$B:$B,$A7,'Data Input'!$D:$D,$B7-1))/SUMIFS('Data Input'!E:E,'Data Input'!$B:$B,$A7,'Data Input'!$D:$D,$B7-1))/((SUMIFS('Data Input'!E:E,'Data Input'!$B:$B,$A7,'Data Input'!$D:$D,$B7)-SUMIFS('Data Input'!F:F,'Data Input'!$B:$B,$A7,'Data Input'!$D:$D,$B7))/SUMIFS('Data Input'!E:E,'Data Input'!$B:$B,$A7,'Data Input'!$D:$D,$B7)),"")</f>
        <v>0.973274178</v>
      </c>
      <c r="K7" s="2">
        <f>IFERROR((1-(SUMIFS('Data Input'!H:H,'Data Input'!$B:$B,$A7,'Data Input'!$D:$D,$B7)+SUMIFS('Data Input'!I:I,'Data Input'!$B:$B,$A7,'Data Input'!$D:$D,$B7))/SUMIFS('Data Input'!J:J,'Data Input'!$B:$B,$A7,'Data Input'!$D:$D,$B7))/(1-(SUMIFS('Data Input'!H:H,'Data Input'!$B:$B,$A7,'Data Input'!$D:$D,$B7-1)+SUMIFS('Data Input'!I:I,'Data Input'!$B:$B,$A7,'Data Input'!$D:$D,$B7-1))/SUMIFS('Data Input'!J:J,'Data Input'!$B:$B,$A7,'Data Input'!$D:$D,$B7-1)),"")</f>
        <v>0.9771257906</v>
      </c>
      <c r="L7" s="2">
        <f>IFERROR(SUMIFS('Data Input'!E:E,'Data Input'!$B:$B,$A7,'Data Input'!$D:$D,$B7)/SUMIFS('Data Input'!E:E,'Data Input'!$B:$B,$A7,'Data Input'!$D:$D,$B7-1),"")</f>
        <v>1.062513587</v>
      </c>
      <c r="M7" s="2">
        <f>IFERROR((SUMIFS('Data Input'!K:K,'Data Input'!$B:$B,$A7,'Data Input'!$D:$D,$B7-1)/(SUMIFS('Data Input'!K:K,'Data Input'!$B:$B,$A7,'Data Input'!$D:$D,$B7-1)+SUMIFS('Data Input'!I:I,'Data Input'!$B:$B,$A7,'Data Input'!$D:$D,$B7-1)))/(SUMIFS('Data Input'!K:K,'Data Input'!$B:$B,$A7,'Data Input'!$D:$D,$B7)/(SUMIFS('Data Input'!K:K,'Data Input'!$B:$B,$A7,'Data Input'!$D:$D,$B7)+SUMIFS('Data Input'!I:I,'Data Input'!$B:$B,$A7,'Data Input'!$D:$D,$B7))),"")</f>
        <v>0.9870789632</v>
      </c>
      <c r="N7" s="2">
        <f>IFERROR((SUMIFS('Data Input'!L:L,'Data Input'!$B:$B,$A7,'Data Input'!$D:$D,$B7)/SUMIFS('Data Input'!E:E,'Data Input'!$B:$B,$A7,'Data Input'!$D:$D,$B7))/(SUMIFS('Data Input'!L:L,'Data Input'!$B:$B,$A7,'Data Input'!$D:$D,$B7-1)/SUMIFS('Data Input'!E:E,'Data Input'!$B:$B,$A7,'Data Input'!$D:$D,$B7-1)),"")</f>
        <v>1.013548505</v>
      </c>
      <c r="O7" s="2">
        <f>IFERROR(((SUMIFS('Data Input'!M:M,'Data Input'!$B:$B,$A7,'Data Input'!$D:$D,$B7)+SUMIFS('Data Input'!N:N,'Data Input'!$B:$B,$A7,'Data Input'!$D:$D,$B7))/SUMIFS('Data Input'!J:J,'Data Input'!$B:$B,$A7,'Data Input'!$D:$D,$B7))/((SUMIFS('Data Input'!M:M,'Data Input'!$B:$B,$A7,'Data Input'!$D:$D,$B7-1)+SUMIFS('Data Input'!N:N,'Data Input'!$B:$B,$A7,'Data Input'!$D:$D,$B7-1))/SUMIFS('Data Input'!J:J,'Data Input'!$B:$B,$A7,'Data Input'!$D:$D,$B7-1)),"")</f>
        <v>0.9460426408</v>
      </c>
      <c r="P7" s="2">
        <f>IFERROR((SUMIFS('Data Input'!O:O,'Data Input'!$B:$B,$A7,'Data Input'!$D:$D,$B7)-SUMIFS('Data Input'!P:P,'Data Input'!$B:$B,$A7,'Data Input'!$D:$D,$B7))/SUMIFS('Data Input'!J:J,'Data Input'!$B:$B,$A7,'Data Input'!$D:$D,$B7),"")</f>
        <v>-0.05718875502</v>
      </c>
      <c r="Q7" s="7">
        <f t="shared" si="2"/>
        <v>-2.7214708</v>
      </c>
      <c r="R7" s="8" t="str">
        <f t="shared" si="3"/>
        <v>Indikasi Rendah</v>
      </c>
    </row>
    <row r="8">
      <c r="A8" s="2" t="s">
        <v>43</v>
      </c>
      <c r="B8" s="2">
        <v>2022.0</v>
      </c>
      <c r="C8" s="2">
        <f>IFERROR(SUMIFS('Data Input'!G:G,'Data Input'!$B:$B,$A8,'Data Input'!$D:$D,$B8)/SUMIFS('Data Input'!E:E,'Data Input'!$B:$B,$A8,'Data Input'!$D:$D,$B8),"")</f>
        <v>0.2057584722</v>
      </c>
      <c r="D8" s="2" t="str">
        <f>IFERROR(SUMIFS('Data Input'!G:G,'Data Input'!$B:$B,$A8,'Data Input'!$D:$D,$B8-1)/SUMIFS('Data Input'!E:E,'Data Input'!$B:$B,$A8,'Data Input'!$D:$D,$B8-1),"")</f>
        <v/>
      </c>
      <c r="E8" s="2">
        <f t="shared" si="1"/>
        <v>0.2057584722</v>
      </c>
      <c r="F8" s="2" t="str">
        <f>IFERROR(SUMIFS('Data Input'!E:E,'Data Input'!$B:$B,$A8,'Data Input'!$D:$D,$B8)/SUMIFS('Data Input'!E:E,'Data Input'!$B:$B,$A8,'Data Input'!$D:$D,$B8-1)-1,"")</f>
        <v/>
      </c>
      <c r="G8" s="2" t="str">
        <f>IFERROR(SUMIFS('Data Input'!G:G,'Data Input'!$B:$B,$A8,'Data Input'!$D:$D,$B8)/SUMIFS('Data Input'!G:G,'Data Input'!$B:$B,$A8,'Data Input'!$D:$D,$B8-1)-1,"")</f>
        <v/>
      </c>
      <c r="H8" s="2">
        <f>IFERROR(SUMIFS('Data Input'!O:O,'Data Input'!$B:$B,$A8,'Data Input'!$D:$D,$B8)-SUMIFS('Data Input'!P:P,'Data Input'!$B:$B,$A8,'Data Input'!$D:$D,$B8),"")</f>
        <v>-908480</v>
      </c>
      <c r="I8" s="2" t="str">
        <f>IFERROR((SUMIFS('Data Input'!G:G,'Data Input'!$B:$B,$A8,'Data Input'!$D:$D,$B8)/SUMIFS('Data Input'!E:E,'Data Input'!$B:$B,$A8,'Data Input'!$D:$D,$B8))/(SUMIFS('Data Input'!G:G,'Data Input'!$B:$B,$A8,'Data Input'!$D:$D,$B8-1)/SUMIFS('Data Input'!E:E,'Data Input'!$B:$B,$A8,'Data Input'!$D:$D,$B8-1)),"")</f>
        <v/>
      </c>
      <c r="J8" s="2" t="str">
        <f>IFERROR(((SUMIFS('Data Input'!E:E,'Data Input'!$B:$B,$A8,'Data Input'!$D:$D,$B8-1)-SUMIFS('Data Input'!F:F,'Data Input'!$B:$B,$A8,'Data Input'!$D:$D,$B8-1))/SUMIFS('Data Input'!E:E,'Data Input'!$B:$B,$A8,'Data Input'!$D:$D,$B8-1))/((SUMIFS('Data Input'!E:E,'Data Input'!$B:$B,$A8,'Data Input'!$D:$D,$B8)-SUMIFS('Data Input'!F:F,'Data Input'!$B:$B,$A8,'Data Input'!$D:$D,$B8))/SUMIFS('Data Input'!E:E,'Data Input'!$B:$B,$A8,'Data Input'!$D:$D,$B8)),"")</f>
        <v/>
      </c>
      <c r="K8" s="2" t="str">
        <f>IFERROR((1-(SUMIFS('Data Input'!H:H,'Data Input'!$B:$B,$A8,'Data Input'!$D:$D,$B8)+SUMIFS('Data Input'!I:I,'Data Input'!$B:$B,$A8,'Data Input'!$D:$D,$B8))/SUMIFS('Data Input'!J:J,'Data Input'!$B:$B,$A8,'Data Input'!$D:$D,$B8))/(1-(SUMIFS('Data Input'!H:H,'Data Input'!$B:$B,$A8,'Data Input'!$D:$D,$B8-1)+SUMIFS('Data Input'!I:I,'Data Input'!$B:$B,$A8,'Data Input'!$D:$D,$B8-1))/SUMIFS('Data Input'!J:J,'Data Input'!$B:$B,$A8,'Data Input'!$D:$D,$B8-1)),"")</f>
        <v/>
      </c>
      <c r="L8" s="2" t="str">
        <f>IFERROR(SUMIFS('Data Input'!E:E,'Data Input'!$B:$B,$A8,'Data Input'!$D:$D,$B8)/SUMIFS('Data Input'!E:E,'Data Input'!$B:$B,$A8,'Data Input'!$D:$D,$B8-1),"")</f>
        <v/>
      </c>
      <c r="M8" s="2" t="str">
        <f>IFERROR((SUMIFS('Data Input'!K:K,'Data Input'!$B:$B,$A8,'Data Input'!$D:$D,$B8-1)/(SUMIFS('Data Input'!K:K,'Data Input'!$B:$B,$A8,'Data Input'!$D:$D,$B8-1)+SUMIFS('Data Input'!I:I,'Data Input'!$B:$B,$A8,'Data Input'!$D:$D,$B8-1)))/(SUMIFS('Data Input'!K:K,'Data Input'!$B:$B,$A8,'Data Input'!$D:$D,$B8)/(SUMIFS('Data Input'!K:K,'Data Input'!$B:$B,$A8,'Data Input'!$D:$D,$B8)+SUMIFS('Data Input'!I:I,'Data Input'!$B:$B,$A8,'Data Input'!$D:$D,$B8))),"")</f>
        <v/>
      </c>
      <c r="N8" s="2" t="str">
        <f>IFERROR((SUMIFS('Data Input'!L:L,'Data Input'!$B:$B,$A8,'Data Input'!$D:$D,$B8)/SUMIFS('Data Input'!E:E,'Data Input'!$B:$B,$A8,'Data Input'!$D:$D,$B8))/(SUMIFS('Data Input'!L:L,'Data Input'!$B:$B,$A8,'Data Input'!$D:$D,$B8-1)/SUMIFS('Data Input'!E:E,'Data Input'!$B:$B,$A8,'Data Input'!$D:$D,$B8-1)),"")</f>
        <v/>
      </c>
      <c r="O8" s="2" t="str">
        <f>IFERROR(((SUMIFS('Data Input'!M:M,'Data Input'!$B:$B,$A8,'Data Input'!$D:$D,$B8)+SUMIFS('Data Input'!N:N,'Data Input'!$B:$B,$A8,'Data Input'!$D:$D,$B8))/SUMIFS('Data Input'!J:J,'Data Input'!$B:$B,$A8,'Data Input'!$D:$D,$B8))/((SUMIFS('Data Input'!M:M,'Data Input'!$B:$B,$A8,'Data Input'!$D:$D,$B8-1)+SUMIFS('Data Input'!N:N,'Data Input'!$B:$B,$A8,'Data Input'!$D:$D,$B8-1))/SUMIFS('Data Input'!J:J,'Data Input'!$B:$B,$A8,'Data Input'!$D:$D,$B8-1)),"")</f>
        <v/>
      </c>
      <c r="P8" s="2">
        <f>IFERROR((SUMIFS('Data Input'!O:O,'Data Input'!$B:$B,$A8,'Data Input'!$D:$D,$B8)-SUMIFS('Data Input'!P:P,'Data Input'!$B:$B,$A8,'Data Input'!$D:$D,$B8))/SUMIFS('Data Input'!J:J,'Data Input'!$B:$B,$A8,'Data Input'!$D:$D,$B8),"")</f>
        <v>-0.04078461907</v>
      </c>
      <c r="Q8" s="7">
        <f t="shared" si="2"/>
        <v>-5.030831233</v>
      </c>
      <c r="R8" s="8" t="str">
        <f t="shared" si="3"/>
        <v>Indikasi Rendah</v>
      </c>
    </row>
    <row r="9">
      <c r="A9" s="2" t="s">
        <v>43</v>
      </c>
      <c r="B9" s="2">
        <v>2023.0</v>
      </c>
      <c r="C9" s="2">
        <f>IFERROR(SUMIFS('Data Input'!G:G,'Data Input'!$B:$B,$A9,'Data Input'!$D:$D,$B9)/SUMIFS('Data Input'!E:E,'Data Input'!$B:$B,$A9,'Data Input'!$D:$D,$B9),"")</f>
        <v>0.2166153822</v>
      </c>
      <c r="D9" s="2">
        <f>IFERROR(SUMIFS('Data Input'!G:G,'Data Input'!$B:$B,$A9,'Data Input'!$D:$D,$B9-1)/SUMIFS('Data Input'!E:E,'Data Input'!$B:$B,$A9,'Data Input'!$D:$D,$B9-1),"")</f>
        <v>0.2057584722</v>
      </c>
      <c r="E9" s="2">
        <f t="shared" si="1"/>
        <v>0.01085690996</v>
      </c>
      <c r="F9" s="2">
        <f>IFERROR(SUMIFS('Data Input'!E:E,'Data Input'!$B:$B,$A9,'Data Input'!$D:$D,$B9)/SUMIFS('Data Input'!E:E,'Data Input'!$B:$B,$A9,'Data Input'!$D:$D,$B9-1)-1,"")</f>
        <v>0.02659429354</v>
      </c>
      <c r="G9" s="2">
        <f>IFERROR(SUMIFS('Data Input'!G:G,'Data Input'!$B:$B,$A9,'Data Input'!$D:$D,$B9)/SUMIFS('Data Input'!G:G,'Data Input'!$B:$B,$A9,'Data Input'!$D:$D,$B9-1)-1,"")</f>
        <v>0.0807628616</v>
      </c>
      <c r="H9" s="2">
        <f>IFERROR(SUMIFS('Data Input'!O:O,'Data Input'!$B:$B,$A9,'Data Input'!$D:$D,$B9)-SUMIFS('Data Input'!P:P,'Data Input'!$B:$B,$A9,'Data Input'!$D:$D,$B9),"")</f>
        <v>-926272</v>
      </c>
      <c r="I9" s="2">
        <f>IFERROR((SUMIFS('Data Input'!G:G,'Data Input'!$B:$B,$A9,'Data Input'!$D:$D,$B9)/SUMIFS('Data Input'!E:E,'Data Input'!$B:$B,$A9,'Data Input'!$D:$D,$B9))/(SUMIFS('Data Input'!G:G,'Data Input'!$B:$B,$A9,'Data Input'!$D:$D,$B9-1)/SUMIFS('Data Input'!E:E,'Data Input'!$B:$B,$A9,'Data Input'!$D:$D,$B9-1)),"")</f>
        <v>1.052765312</v>
      </c>
      <c r="J9" s="2">
        <f>IFERROR(((SUMIFS('Data Input'!E:E,'Data Input'!$B:$B,$A9,'Data Input'!$D:$D,$B9-1)-SUMIFS('Data Input'!F:F,'Data Input'!$B:$B,$A9,'Data Input'!$D:$D,$B9-1))/SUMIFS('Data Input'!E:E,'Data Input'!$B:$B,$A9,'Data Input'!$D:$D,$B9-1))/((SUMIFS('Data Input'!E:E,'Data Input'!$B:$B,$A9,'Data Input'!$D:$D,$B9)-SUMIFS('Data Input'!F:F,'Data Input'!$B:$B,$A9,'Data Input'!$D:$D,$B9))/SUMIFS('Data Input'!E:E,'Data Input'!$B:$B,$A9,'Data Input'!$D:$D,$B9)),"")</f>
        <v>0.835073521</v>
      </c>
      <c r="K9" s="2">
        <f>IFERROR((1-(SUMIFS('Data Input'!H:H,'Data Input'!$B:$B,$A9,'Data Input'!$D:$D,$B9)+SUMIFS('Data Input'!I:I,'Data Input'!$B:$B,$A9,'Data Input'!$D:$D,$B9))/SUMIFS('Data Input'!J:J,'Data Input'!$B:$B,$A9,'Data Input'!$D:$D,$B9))/(1-(SUMIFS('Data Input'!H:H,'Data Input'!$B:$B,$A9,'Data Input'!$D:$D,$B9-1)+SUMIFS('Data Input'!I:I,'Data Input'!$B:$B,$A9,'Data Input'!$D:$D,$B9-1))/SUMIFS('Data Input'!J:J,'Data Input'!$B:$B,$A9,'Data Input'!$D:$D,$B9-1)),"")</f>
        <v>0.2773316559</v>
      </c>
      <c r="L9" s="2">
        <f>IFERROR(SUMIFS('Data Input'!E:E,'Data Input'!$B:$B,$A9,'Data Input'!$D:$D,$B9)/SUMIFS('Data Input'!E:E,'Data Input'!$B:$B,$A9,'Data Input'!$D:$D,$B9-1),"")</f>
        <v>1.026594294</v>
      </c>
      <c r="M9" s="2">
        <f>IFERROR((SUMIFS('Data Input'!K:K,'Data Input'!$B:$B,$A9,'Data Input'!$D:$D,$B9-1)/(SUMIFS('Data Input'!K:K,'Data Input'!$B:$B,$A9,'Data Input'!$D:$D,$B9-1)+SUMIFS('Data Input'!I:I,'Data Input'!$B:$B,$A9,'Data Input'!$D:$D,$B9-1)))/(SUMIFS('Data Input'!K:K,'Data Input'!$B:$B,$A9,'Data Input'!$D:$D,$B9)/(SUMIFS('Data Input'!K:K,'Data Input'!$B:$B,$A9,'Data Input'!$D:$D,$B9)+SUMIFS('Data Input'!I:I,'Data Input'!$B:$B,$A9,'Data Input'!$D:$D,$B9))),"")</f>
        <v>1.007186011</v>
      </c>
      <c r="N9" s="2">
        <f>IFERROR((SUMIFS('Data Input'!L:L,'Data Input'!$B:$B,$A9,'Data Input'!$D:$D,$B9)/SUMIFS('Data Input'!E:E,'Data Input'!$B:$B,$A9,'Data Input'!$D:$D,$B9))/(SUMIFS('Data Input'!L:L,'Data Input'!$B:$B,$A9,'Data Input'!$D:$D,$B9-1)/SUMIFS('Data Input'!E:E,'Data Input'!$B:$B,$A9,'Data Input'!$D:$D,$B9-1)),"")</f>
        <v>1.030551269</v>
      </c>
      <c r="O9" s="2">
        <f>IFERROR(((SUMIFS('Data Input'!M:M,'Data Input'!$B:$B,$A9,'Data Input'!$D:$D,$B9)+SUMIFS('Data Input'!N:N,'Data Input'!$B:$B,$A9,'Data Input'!$D:$D,$B9))/SUMIFS('Data Input'!J:J,'Data Input'!$B:$B,$A9,'Data Input'!$D:$D,$B9))/((SUMIFS('Data Input'!M:M,'Data Input'!$B:$B,$A9,'Data Input'!$D:$D,$B9-1)+SUMIFS('Data Input'!N:N,'Data Input'!$B:$B,$A9,'Data Input'!$D:$D,$B9-1))/SUMIFS('Data Input'!J:J,'Data Input'!$B:$B,$A9,'Data Input'!$D:$D,$B9-1)),"")</f>
        <v>0.8736751927</v>
      </c>
      <c r="P9" s="2">
        <f>IFERROR((SUMIFS('Data Input'!O:O,'Data Input'!$B:$B,$A9,'Data Input'!$D:$D,$B9)-SUMIFS('Data Input'!P:P,'Data Input'!$B:$B,$A9,'Data Input'!$D:$D,$B9))/SUMIFS('Data Input'!J:J,'Data Input'!$B:$B,$A9,'Data Input'!$D:$D,$B9),"")</f>
        <v>-0.03879653799</v>
      </c>
      <c r="Q9" s="7">
        <f t="shared" si="2"/>
        <v>-2.931422211</v>
      </c>
      <c r="R9" s="8" t="str">
        <f t="shared" si="3"/>
        <v>Indikasi Rendah</v>
      </c>
    </row>
    <row r="10">
      <c r="A10" s="2" t="s">
        <v>43</v>
      </c>
      <c r="B10" s="2">
        <v>2024.0</v>
      </c>
      <c r="C10" s="2">
        <f>IFERROR(SUMIFS('Data Input'!G:G,'Data Input'!$B:$B,$A10,'Data Input'!$D:$D,$B10)/SUMIFS('Data Input'!E:E,'Data Input'!$B:$B,$A10,'Data Input'!$D:$D,$B10),"")</f>
        <v>0.2102189781</v>
      </c>
      <c r="D10" s="2">
        <f>IFERROR(SUMIFS('Data Input'!G:G,'Data Input'!$B:$B,$A10,'Data Input'!$D:$D,$B10-1)/SUMIFS('Data Input'!E:E,'Data Input'!$B:$B,$A10,'Data Input'!$D:$D,$B10-1),"")</f>
        <v>0.2166153822</v>
      </c>
      <c r="E10" s="2">
        <f t="shared" si="1"/>
        <v>-0.00639640409</v>
      </c>
      <c r="F10" s="2">
        <f>IFERROR(SUMIFS('Data Input'!E:E,'Data Input'!$B:$B,$A10,'Data Input'!$D:$D,$B10)/SUMIFS('Data Input'!E:E,'Data Input'!$B:$B,$A10,'Data Input'!$D:$D,$B10-1)-1,"")</f>
        <v>0.08782522838</v>
      </c>
      <c r="G10" s="2">
        <f>IFERROR(SUMIFS('Data Input'!G:G,'Data Input'!$B:$B,$A10,'Data Input'!$D:$D,$B10)/SUMIFS('Data Input'!G:G,'Data Input'!$B:$B,$A10,'Data Input'!$D:$D,$B10-1)-1,"")</f>
        <v>0.05570299556</v>
      </c>
      <c r="H10" s="2">
        <f>IFERROR(SUMIFS('Data Input'!O:O,'Data Input'!$B:$B,$A10,'Data Input'!$D:$D,$B10)-SUMIFS('Data Input'!P:P,'Data Input'!$B:$B,$A10,'Data Input'!$D:$D,$B10),"")</f>
        <v>-1030000</v>
      </c>
      <c r="I10" s="2">
        <f>IFERROR((SUMIFS('Data Input'!G:G,'Data Input'!$B:$B,$A10,'Data Input'!$D:$D,$B10)/SUMIFS('Data Input'!E:E,'Data Input'!$B:$B,$A10,'Data Input'!$D:$D,$B10))/(SUMIFS('Data Input'!G:G,'Data Input'!$B:$B,$A10,'Data Input'!$D:$D,$B10-1)/SUMIFS('Data Input'!E:E,'Data Input'!$B:$B,$A10,'Data Input'!$D:$D,$B10-1)),"")</f>
        <v>0.9704711456</v>
      </c>
      <c r="J10" s="2">
        <f>IFERROR(((SUMIFS('Data Input'!E:E,'Data Input'!$B:$B,$A10,'Data Input'!$D:$D,$B10-1)-SUMIFS('Data Input'!F:F,'Data Input'!$B:$B,$A10,'Data Input'!$D:$D,$B10-1))/SUMIFS('Data Input'!E:E,'Data Input'!$B:$B,$A10,'Data Input'!$D:$D,$B10-1))/((SUMIFS('Data Input'!E:E,'Data Input'!$B:$B,$A10,'Data Input'!$D:$D,$B10)-SUMIFS('Data Input'!F:F,'Data Input'!$B:$B,$A10,'Data Input'!$D:$D,$B10))/SUMIFS('Data Input'!E:E,'Data Input'!$B:$B,$A10,'Data Input'!$D:$D,$B10)),"")</f>
        <v>0.999407626</v>
      </c>
      <c r="K10" s="2">
        <f>IFERROR((1-(SUMIFS('Data Input'!H:H,'Data Input'!$B:$B,$A10,'Data Input'!$D:$D,$B10)+SUMIFS('Data Input'!I:I,'Data Input'!$B:$B,$A10,'Data Input'!$D:$D,$B10))/SUMIFS('Data Input'!J:J,'Data Input'!$B:$B,$A10,'Data Input'!$D:$D,$B10))/(1-(SUMIFS('Data Input'!H:H,'Data Input'!$B:$B,$A10,'Data Input'!$D:$D,$B10-1)+SUMIFS('Data Input'!I:I,'Data Input'!$B:$B,$A10,'Data Input'!$D:$D,$B10-1))/SUMIFS('Data Input'!J:J,'Data Input'!$B:$B,$A10,'Data Input'!$D:$D,$B10-1)),"")</f>
        <v>2.063765049</v>
      </c>
      <c r="L10" s="2">
        <f>IFERROR(SUMIFS('Data Input'!E:E,'Data Input'!$B:$B,$A10,'Data Input'!$D:$D,$B10)/SUMIFS('Data Input'!E:E,'Data Input'!$B:$B,$A10,'Data Input'!$D:$D,$B10-1),"")</f>
        <v>1.087825228</v>
      </c>
      <c r="M10" s="2">
        <f>IFERROR((SUMIFS('Data Input'!K:K,'Data Input'!$B:$B,$A10,'Data Input'!$D:$D,$B10-1)/(SUMIFS('Data Input'!K:K,'Data Input'!$B:$B,$A10,'Data Input'!$D:$D,$B10-1)+SUMIFS('Data Input'!I:I,'Data Input'!$B:$B,$A10,'Data Input'!$D:$D,$B10-1)))/(SUMIFS('Data Input'!K:K,'Data Input'!$B:$B,$A10,'Data Input'!$D:$D,$B10)/(SUMIFS('Data Input'!K:K,'Data Input'!$B:$B,$A10,'Data Input'!$D:$D,$B10)+SUMIFS('Data Input'!I:I,'Data Input'!$B:$B,$A10,'Data Input'!$D:$D,$B10))),"")</f>
        <v>0.9984785741</v>
      </c>
      <c r="N10" s="2">
        <f>IFERROR((SUMIFS('Data Input'!L:L,'Data Input'!$B:$B,$A10,'Data Input'!$D:$D,$B10)/SUMIFS('Data Input'!E:E,'Data Input'!$B:$B,$A10,'Data Input'!$D:$D,$B10))/(SUMIFS('Data Input'!L:L,'Data Input'!$B:$B,$A10,'Data Input'!$D:$D,$B10-1)/SUMIFS('Data Input'!E:E,'Data Input'!$B:$B,$A10,'Data Input'!$D:$D,$B10-1)),"")</f>
        <v>1.00423208</v>
      </c>
      <c r="O10" s="2">
        <f>IFERROR(((SUMIFS('Data Input'!M:M,'Data Input'!$B:$B,$A10,'Data Input'!$D:$D,$B10)+SUMIFS('Data Input'!N:N,'Data Input'!$B:$B,$A10,'Data Input'!$D:$D,$B10))/SUMIFS('Data Input'!J:J,'Data Input'!$B:$B,$A10,'Data Input'!$D:$D,$B10))/((SUMIFS('Data Input'!M:M,'Data Input'!$B:$B,$A10,'Data Input'!$D:$D,$B10-1)+SUMIFS('Data Input'!N:N,'Data Input'!$B:$B,$A10,'Data Input'!$D:$D,$B10-1))/SUMIFS('Data Input'!J:J,'Data Input'!$B:$B,$A10,'Data Input'!$D:$D,$B10-1)),"")</f>
        <v>0.9316415741</v>
      </c>
      <c r="P10" s="2">
        <f>IFERROR((SUMIFS('Data Input'!O:O,'Data Input'!$B:$B,$A10,'Data Input'!$D:$D,$B10)-SUMIFS('Data Input'!P:P,'Data Input'!$B:$B,$A10,'Data Input'!$D:$D,$B10))/SUMIFS('Data Input'!J:J,'Data Input'!$B:$B,$A10,'Data Input'!$D:$D,$B10),"")</f>
        <v>-0.03992248062</v>
      </c>
      <c r="Q10" s="7">
        <f t="shared" si="2"/>
        <v>-2.164725099</v>
      </c>
      <c r="R10" s="8" t="str">
        <f t="shared" si="3"/>
        <v>Indikasi Rendah</v>
      </c>
    </row>
    <row r="11">
      <c r="A11" s="2" t="s">
        <v>48</v>
      </c>
      <c r="B11" s="2">
        <v>2022.0</v>
      </c>
      <c r="C11" s="2">
        <f>IFERROR(SUMIFS('Data Input'!G:G,'Data Input'!$B:$B,$A11,'Data Input'!$D:$D,$B11)/SUMIFS('Data Input'!E:E,'Data Input'!$B:$B,$A11,'Data Input'!$D:$D,$B11),"")</f>
        <v>0.1282185791</v>
      </c>
      <c r="D11" s="2" t="str">
        <f>IFERROR(SUMIFS('Data Input'!G:G,'Data Input'!$B:$B,$A11,'Data Input'!$D:$D,$B11-1)/SUMIFS('Data Input'!E:E,'Data Input'!$B:$B,$A11,'Data Input'!$D:$D,$B11-1),"")</f>
        <v/>
      </c>
      <c r="E11" s="2">
        <f t="shared" si="1"/>
        <v>0.1282185791</v>
      </c>
      <c r="F11" s="2" t="str">
        <f>IFERROR(SUMIFS('Data Input'!E:E,'Data Input'!$B:$B,$A11,'Data Input'!$D:$D,$B11)/SUMIFS('Data Input'!E:E,'Data Input'!$B:$B,$A11,'Data Input'!$D:$D,$B11-1)-1,"")</f>
        <v/>
      </c>
      <c r="G11" s="2" t="str">
        <f>IFERROR(SUMIFS('Data Input'!G:G,'Data Input'!$B:$B,$A11,'Data Input'!$D:$D,$B11)/SUMIFS('Data Input'!G:G,'Data Input'!$B:$B,$A11,'Data Input'!$D:$D,$B11-1)-1,"")</f>
        <v/>
      </c>
      <c r="H11" s="2">
        <f>IFERROR(SUMIFS('Data Input'!O:O,'Data Input'!$B:$B,$A11,'Data Input'!$D:$D,$B11)-SUMIFS('Data Input'!P:P,'Data Input'!$B:$B,$A11,'Data Input'!$D:$D,$B11),"")</f>
        <v>-10540000</v>
      </c>
      <c r="I11" s="2" t="str">
        <f>IFERROR((SUMIFS('Data Input'!G:G,'Data Input'!$B:$B,$A11,'Data Input'!$D:$D,$B11)/SUMIFS('Data Input'!E:E,'Data Input'!$B:$B,$A11,'Data Input'!$D:$D,$B11))/(SUMIFS('Data Input'!G:G,'Data Input'!$B:$B,$A11,'Data Input'!$D:$D,$B11-1)/SUMIFS('Data Input'!E:E,'Data Input'!$B:$B,$A11,'Data Input'!$D:$D,$B11-1)),"")</f>
        <v/>
      </c>
      <c r="J11" s="2" t="str">
        <f>IFERROR(((SUMIFS('Data Input'!E:E,'Data Input'!$B:$B,$A11,'Data Input'!$D:$D,$B11-1)-SUMIFS('Data Input'!F:F,'Data Input'!$B:$B,$A11,'Data Input'!$D:$D,$B11-1))/SUMIFS('Data Input'!E:E,'Data Input'!$B:$B,$A11,'Data Input'!$D:$D,$B11-1))/((SUMIFS('Data Input'!E:E,'Data Input'!$B:$B,$A11,'Data Input'!$D:$D,$B11)-SUMIFS('Data Input'!F:F,'Data Input'!$B:$B,$A11,'Data Input'!$D:$D,$B11))/SUMIFS('Data Input'!E:E,'Data Input'!$B:$B,$A11,'Data Input'!$D:$D,$B11)),"")</f>
        <v/>
      </c>
      <c r="K11" s="2" t="str">
        <f>IFERROR((1-(SUMIFS('Data Input'!H:H,'Data Input'!$B:$B,$A11,'Data Input'!$D:$D,$B11)+SUMIFS('Data Input'!I:I,'Data Input'!$B:$B,$A11,'Data Input'!$D:$D,$B11))/SUMIFS('Data Input'!J:J,'Data Input'!$B:$B,$A11,'Data Input'!$D:$D,$B11))/(1-(SUMIFS('Data Input'!H:H,'Data Input'!$B:$B,$A11,'Data Input'!$D:$D,$B11-1)+SUMIFS('Data Input'!I:I,'Data Input'!$B:$B,$A11,'Data Input'!$D:$D,$B11-1))/SUMIFS('Data Input'!J:J,'Data Input'!$B:$B,$A11,'Data Input'!$D:$D,$B11-1)),"")</f>
        <v/>
      </c>
      <c r="L11" s="2" t="str">
        <f>IFERROR(SUMIFS('Data Input'!E:E,'Data Input'!$B:$B,$A11,'Data Input'!$D:$D,$B11)/SUMIFS('Data Input'!E:E,'Data Input'!$B:$B,$A11,'Data Input'!$D:$D,$B11-1),"")</f>
        <v/>
      </c>
      <c r="M11" s="2" t="str">
        <f>IFERROR((SUMIFS('Data Input'!K:K,'Data Input'!$B:$B,$A11,'Data Input'!$D:$D,$B11-1)/(SUMIFS('Data Input'!K:K,'Data Input'!$B:$B,$A11,'Data Input'!$D:$D,$B11-1)+SUMIFS('Data Input'!I:I,'Data Input'!$B:$B,$A11,'Data Input'!$D:$D,$B11-1)))/(SUMIFS('Data Input'!K:K,'Data Input'!$B:$B,$A11,'Data Input'!$D:$D,$B11)/(SUMIFS('Data Input'!K:K,'Data Input'!$B:$B,$A11,'Data Input'!$D:$D,$B11)+SUMIFS('Data Input'!I:I,'Data Input'!$B:$B,$A11,'Data Input'!$D:$D,$B11))),"")</f>
        <v/>
      </c>
      <c r="N11" s="2" t="str">
        <f>IFERROR((SUMIFS('Data Input'!L:L,'Data Input'!$B:$B,$A11,'Data Input'!$D:$D,$B11)/SUMIFS('Data Input'!E:E,'Data Input'!$B:$B,$A11,'Data Input'!$D:$D,$B11))/(SUMIFS('Data Input'!L:L,'Data Input'!$B:$B,$A11,'Data Input'!$D:$D,$B11-1)/SUMIFS('Data Input'!E:E,'Data Input'!$B:$B,$A11,'Data Input'!$D:$D,$B11-1)),"")</f>
        <v/>
      </c>
      <c r="O11" s="2" t="str">
        <f>IFERROR(((SUMIFS('Data Input'!M:M,'Data Input'!$B:$B,$A11,'Data Input'!$D:$D,$B11)+SUMIFS('Data Input'!N:N,'Data Input'!$B:$B,$A11,'Data Input'!$D:$D,$B11))/SUMIFS('Data Input'!J:J,'Data Input'!$B:$B,$A11,'Data Input'!$D:$D,$B11))/((SUMIFS('Data Input'!M:M,'Data Input'!$B:$B,$A11,'Data Input'!$D:$D,$B11-1)+SUMIFS('Data Input'!N:N,'Data Input'!$B:$B,$A11,'Data Input'!$D:$D,$B11-1))/SUMIFS('Data Input'!J:J,'Data Input'!$B:$B,$A11,'Data Input'!$D:$D,$B11-1)),"")</f>
        <v/>
      </c>
      <c r="P11" s="2">
        <f>IFERROR((SUMIFS('Data Input'!O:O,'Data Input'!$B:$B,$A11,'Data Input'!$D:$D,$B11)-SUMIFS('Data Input'!P:P,'Data Input'!$B:$B,$A11,'Data Input'!$D:$D,$B11))/SUMIFS('Data Input'!J:J,'Data Input'!$B:$B,$A11,'Data Input'!$D:$D,$B11),"")</f>
        <v>-0.05841493458</v>
      </c>
      <c r="Q11" s="7">
        <f t="shared" si="2"/>
        <v>-5.113323479</v>
      </c>
      <c r="R11" s="8" t="str">
        <f t="shared" si="3"/>
        <v>Indikasi Rendah</v>
      </c>
    </row>
    <row r="12">
      <c r="A12" s="2" t="s">
        <v>48</v>
      </c>
      <c r="B12" s="2">
        <v>2023.0</v>
      </c>
      <c r="C12" s="2">
        <f>IFERROR(SUMIFS('Data Input'!G:G,'Data Input'!$B:$B,$A12,'Data Input'!$D:$D,$B12)/SUMIFS('Data Input'!E:E,'Data Input'!$B:$B,$A12,'Data Input'!$D:$D,$B12),"")</f>
        <v>0.1351801514</v>
      </c>
      <c r="D12" s="2">
        <f>IFERROR(SUMIFS('Data Input'!G:G,'Data Input'!$B:$B,$A12,'Data Input'!$D:$D,$B12-1)/SUMIFS('Data Input'!E:E,'Data Input'!$B:$B,$A12,'Data Input'!$D:$D,$B12-1),"")</f>
        <v>0.1282185791</v>
      </c>
      <c r="E12" s="2">
        <f t="shared" si="1"/>
        <v>0.006961572315</v>
      </c>
      <c r="F12" s="2">
        <f>IFERROR(SUMIFS('Data Input'!E:E,'Data Input'!$B:$B,$A12,'Data Input'!$D:$D,$B12)/SUMIFS('Data Input'!E:E,'Data Input'!$B:$B,$A12,'Data Input'!$D:$D,$B12-1)-1,"")</f>
        <v>0.007885905035</v>
      </c>
      <c r="G12" s="2">
        <f>IFERROR(SUMIFS('Data Input'!G:G,'Data Input'!$B:$B,$A12,'Data Input'!$D:$D,$B12)/SUMIFS('Data Input'!G:G,'Data Input'!$B:$B,$A12,'Data Input'!$D:$D,$B12-1)-1,"")</f>
        <v>0.06260863446</v>
      </c>
      <c r="H12" s="2">
        <f>IFERROR(SUMIFS('Data Input'!O:O,'Data Input'!$B:$B,$A12,'Data Input'!$D:$D,$B12)-SUMIFS('Data Input'!P:P,'Data Input'!$B:$B,$A12,'Data Input'!$D:$D,$B12),"")</f>
        <v>-11069600</v>
      </c>
      <c r="I12" s="2">
        <f>IFERROR((SUMIFS('Data Input'!G:G,'Data Input'!$B:$B,$A12,'Data Input'!$D:$D,$B12)/SUMIFS('Data Input'!E:E,'Data Input'!$B:$B,$A12,'Data Input'!$D:$D,$B12))/(SUMIFS('Data Input'!G:G,'Data Input'!$B:$B,$A12,'Data Input'!$D:$D,$B12-1)/SUMIFS('Data Input'!E:E,'Data Input'!$B:$B,$A12,'Data Input'!$D:$D,$B12-1)),"")</f>
        <v>1.054294568</v>
      </c>
      <c r="J12" s="2">
        <f>IFERROR(((SUMIFS('Data Input'!E:E,'Data Input'!$B:$B,$A12,'Data Input'!$D:$D,$B12-1)-SUMIFS('Data Input'!F:F,'Data Input'!$B:$B,$A12,'Data Input'!$D:$D,$B12-1))/SUMIFS('Data Input'!E:E,'Data Input'!$B:$B,$A12,'Data Input'!$D:$D,$B12-1))/((SUMIFS('Data Input'!E:E,'Data Input'!$B:$B,$A12,'Data Input'!$D:$D,$B12)-SUMIFS('Data Input'!F:F,'Data Input'!$B:$B,$A12,'Data Input'!$D:$D,$B12))/SUMIFS('Data Input'!E:E,'Data Input'!$B:$B,$A12,'Data Input'!$D:$D,$B12)),"")</f>
        <v>0.9559916767</v>
      </c>
      <c r="K12" s="2">
        <f>IFERROR((1-(SUMIFS('Data Input'!H:H,'Data Input'!$B:$B,$A12,'Data Input'!$D:$D,$B12)+SUMIFS('Data Input'!I:I,'Data Input'!$B:$B,$A12,'Data Input'!$D:$D,$B12))/SUMIFS('Data Input'!J:J,'Data Input'!$B:$B,$A12,'Data Input'!$D:$D,$B12))/(1-(SUMIFS('Data Input'!H:H,'Data Input'!$B:$B,$A12,'Data Input'!$D:$D,$B12-1)+SUMIFS('Data Input'!I:I,'Data Input'!$B:$B,$A12,'Data Input'!$D:$D,$B12-1))/SUMIFS('Data Input'!J:J,'Data Input'!$B:$B,$A12,'Data Input'!$D:$D,$B12-1)),"")</f>
        <v>0.9826324028</v>
      </c>
      <c r="L12" s="2">
        <f>IFERROR(SUMIFS('Data Input'!E:E,'Data Input'!$B:$B,$A12,'Data Input'!$D:$D,$B12)/SUMIFS('Data Input'!E:E,'Data Input'!$B:$B,$A12,'Data Input'!$D:$D,$B12-1),"")</f>
        <v>1.007885905</v>
      </c>
      <c r="M12" s="2">
        <f>IFERROR((SUMIFS('Data Input'!K:K,'Data Input'!$B:$B,$A12,'Data Input'!$D:$D,$B12-1)/(SUMIFS('Data Input'!K:K,'Data Input'!$B:$B,$A12,'Data Input'!$D:$D,$B12-1)+SUMIFS('Data Input'!I:I,'Data Input'!$B:$B,$A12,'Data Input'!$D:$D,$B12-1)))/(SUMIFS('Data Input'!K:K,'Data Input'!$B:$B,$A12,'Data Input'!$D:$D,$B12)/(SUMIFS('Data Input'!K:K,'Data Input'!$B:$B,$A12,'Data Input'!$D:$D,$B12)+SUMIFS('Data Input'!I:I,'Data Input'!$B:$B,$A12,'Data Input'!$D:$D,$B12))),"")</f>
        <v>0.9915532419</v>
      </c>
      <c r="N12" s="2">
        <f>IFERROR((SUMIFS('Data Input'!L:L,'Data Input'!$B:$B,$A12,'Data Input'!$D:$D,$B12)/SUMIFS('Data Input'!E:E,'Data Input'!$B:$B,$A12,'Data Input'!$D:$D,$B12))/(SUMIFS('Data Input'!L:L,'Data Input'!$B:$B,$A12,'Data Input'!$D:$D,$B12-1)/SUMIFS('Data Input'!E:E,'Data Input'!$B:$B,$A12,'Data Input'!$D:$D,$B12-1)),"")</f>
        <v>1.03961044</v>
      </c>
      <c r="O12" s="2">
        <f>IFERROR(((SUMIFS('Data Input'!M:M,'Data Input'!$B:$B,$A12,'Data Input'!$D:$D,$B12)+SUMIFS('Data Input'!N:N,'Data Input'!$B:$B,$A12,'Data Input'!$D:$D,$B12))/SUMIFS('Data Input'!J:J,'Data Input'!$B:$B,$A12,'Data Input'!$D:$D,$B12))/((SUMIFS('Data Input'!M:M,'Data Input'!$B:$B,$A12,'Data Input'!$D:$D,$B12-1)+SUMIFS('Data Input'!N:N,'Data Input'!$B:$B,$A12,'Data Input'!$D:$D,$B12-1))/SUMIFS('Data Input'!J:J,'Data Input'!$B:$B,$A12,'Data Input'!$D:$D,$B12-1)),"")</f>
        <v>0.9613013644</v>
      </c>
      <c r="P12" s="2">
        <f>IFERROR((SUMIFS('Data Input'!O:O,'Data Input'!$B:$B,$A12,'Data Input'!$D:$D,$B12)-SUMIFS('Data Input'!P:P,'Data Input'!$B:$B,$A12,'Data Input'!$D:$D,$B12))/SUMIFS('Data Input'!J:J,'Data Input'!$B:$B,$A12,'Data Input'!$D:$D,$B12),"")</f>
        <v>-0.05925589042</v>
      </c>
      <c r="Q12" s="7">
        <f t="shared" si="2"/>
        <v>-2.725655905</v>
      </c>
      <c r="R12" s="8" t="str">
        <f t="shared" si="3"/>
        <v>Indikasi Rendah</v>
      </c>
    </row>
    <row r="13">
      <c r="A13" s="2" t="s">
        <v>48</v>
      </c>
      <c r="B13" s="2">
        <v>2024.0</v>
      </c>
      <c r="C13" s="2">
        <f>IFERROR(SUMIFS('Data Input'!G:G,'Data Input'!$B:$B,$A13,'Data Input'!$D:$D,$B13)/SUMIFS('Data Input'!E:E,'Data Input'!$B:$B,$A13,'Data Input'!$D:$D,$B13),"")</f>
        <v>0.1333333333</v>
      </c>
      <c r="D13" s="2">
        <f>IFERROR(SUMIFS('Data Input'!G:G,'Data Input'!$B:$B,$A13,'Data Input'!$D:$D,$B13-1)/SUMIFS('Data Input'!E:E,'Data Input'!$B:$B,$A13,'Data Input'!$D:$D,$B13-1),"")</f>
        <v>0.1351801514</v>
      </c>
      <c r="E13" s="2">
        <f t="shared" si="1"/>
        <v>-0.001846818107</v>
      </c>
      <c r="F13" s="2">
        <f>IFERROR(SUMIFS('Data Input'!E:E,'Data Input'!$B:$B,$A13,'Data Input'!$D:$D,$B13)/SUMIFS('Data Input'!E:E,'Data Input'!$B:$B,$A13,'Data Input'!$D:$D,$B13-1)-1,"")</f>
        <v>0.06083680651</v>
      </c>
      <c r="G13" s="2">
        <f>IFERROR(SUMIFS('Data Input'!G:G,'Data Input'!$B:$B,$A13,'Data Input'!$D:$D,$B13)/SUMIFS('Data Input'!G:G,'Data Input'!$B:$B,$A13,'Data Input'!$D:$D,$B13-1)-1,"")</f>
        <v>0.04634375704</v>
      </c>
      <c r="H13" s="2">
        <f>IFERROR(SUMIFS('Data Input'!O:O,'Data Input'!$B:$B,$A13,'Data Input'!$D:$D,$B13)-SUMIFS('Data Input'!P:P,'Data Input'!$B:$B,$A13,'Data Input'!$D:$D,$B13),"")</f>
        <v>-11650000</v>
      </c>
      <c r="I13" s="2">
        <f>IFERROR((SUMIFS('Data Input'!G:G,'Data Input'!$B:$B,$A13,'Data Input'!$D:$D,$B13)/SUMIFS('Data Input'!E:E,'Data Input'!$B:$B,$A13,'Data Input'!$D:$D,$B13))/(SUMIFS('Data Input'!G:G,'Data Input'!$B:$B,$A13,'Data Input'!$D:$D,$B13-1)/SUMIFS('Data Input'!E:E,'Data Input'!$B:$B,$A13,'Data Input'!$D:$D,$B13-1)),"")</f>
        <v>0.9863380971</v>
      </c>
      <c r="J13" s="2">
        <f>IFERROR(((SUMIFS('Data Input'!E:E,'Data Input'!$B:$B,$A13,'Data Input'!$D:$D,$B13-1)-SUMIFS('Data Input'!F:F,'Data Input'!$B:$B,$A13,'Data Input'!$D:$D,$B13-1))/SUMIFS('Data Input'!E:E,'Data Input'!$B:$B,$A13,'Data Input'!$D:$D,$B13-1))/((SUMIFS('Data Input'!E:E,'Data Input'!$B:$B,$A13,'Data Input'!$D:$D,$B13)-SUMIFS('Data Input'!F:F,'Data Input'!$B:$B,$A13,'Data Input'!$D:$D,$B13))/SUMIFS('Data Input'!E:E,'Data Input'!$B:$B,$A13,'Data Input'!$D:$D,$B13)),"")</f>
        <v>0.9667427142</v>
      </c>
      <c r="K13" s="2">
        <f>IFERROR((1-(SUMIFS('Data Input'!H:H,'Data Input'!$B:$B,$A13,'Data Input'!$D:$D,$B13)+SUMIFS('Data Input'!I:I,'Data Input'!$B:$B,$A13,'Data Input'!$D:$D,$B13))/SUMIFS('Data Input'!J:J,'Data Input'!$B:$B,$A13,'Data Input'!$D:$D,$B13))/(1-(SUMIFS('Data Input'!H:H,'Data Input'!$B:$B,$A13,'Data Input'!$D:$D,$B13-1)+SUMIFS('Data Input'!I:I,'Data Input'!$B:$B,$A13,'Data Input'!$D:$D,$B13-1))/SUMIFS('Data Input'!J:J,'Data Input'!$B:$B,$A13,'Data Input'!$D:$D,$B13-1)),"")</f>
        <v>0.9960349314</v>
      </c>
      <c r="L13" s="2">
        <f>IFERROR(SUMIFS('Data Input'!E:E,'Data Input'!$B:$B,$A13,'Data Input'!$D:$D,$B13)/SUMIFS('Data Input'!E:E,'Data Input'!$B:$B,$A13,'Data Input'!$D:$D,$B13-1),"")</f>
        <v>1.060836807</v>
      </c>
      <c r="M13" s="2">
        <f>IFERROR((SUMIFS('Data Input'!K:K,'Data Input'!$B:$B,$A13,'Data Input'!$D:$D,$B13-1)/(SUMIFS('Data Input'!K:K,'Data Input'!$B:$B,$A13,'Data Input'!$D:$D,$B13-1)+SUMIFS('Data Input'!I:I,'Data Input'!$B:$B,$A13,'Data Input'!$D:$D,$B13-1)))/(SUMIFS('Data Input'!K:K,'Data Input'!$B:$B,$A13,'Data Input'!$D:$D,$B13)/(SUMIFS('Data Input'!K:K,'Data Input'!$B:$B,$A13,'Data Input'!$D:$D,$B13)+SUMIFS('Data Input'!I:I,'Data Input'!$B:$B,$A13,'Data Input'!$D:$D,$B13))),"")</f>
        <v>0.9865460399</v>
      </c>
      <c r="N13" s="2">
        <f>IFERROR((SUMIFS('Data Input'!L:L,'Data Input'!$B:$B,$A13,'Data Input'!$D:$D,$B13)/SUMIFS('Data Input'!E:E,'Data Input'!$B:$B,$A13,'Data Input'!$D:$D,$B13))/(SUMIFS('Data Input'!L:L,'Data Input'!$B:$B,$A13,'Data Input'!$D:$D,$B13-1)/SUMIFS('Data Input'!E:E,'Data Input'!$B:$B,$A13,'Data Input'!$D:$D,$B13-1)),"")</f>
        <v>0.9875872803</v>
      </c>
      <c r="O13" s="2">
        <f>IFERROR(((SUMIFS('Data Input'!M:M,'Data Input'!$B:$B,$A13,'Data Input'!$D:$D,$B13)+SUMIFS('Data Input'!N:N,'Data Input'!$B:$B,$A13,'Data Input'!$D:$D,$B13))/SUMIFS('Data Input'!J:J,'Data Input'!$B:$B,$A13,'Data Input'!$D:$D,$B13))/((SUMIFS('Data Input'!M:M,'Data Input'!$B:$B,$A13,'Data Input'!$D:$D,$B13-1)+SUMIFS('Data Input'!N:N,'Data Input'!$B:$B,$A13,'Data Input'!$D:$D,$B13-1))/SUMIFS('Data Input'!J:J,'Data Input'!$B:$B,$A13,'Data Input'!$D:$D,$B13-1)),"")</f>
        <v>0.9578937042</v>
      </c>
      <c r="P13" s="2">
        <f>IFERROR((SUMIFS('Data Input'!O:O,'Data Input'!$B:$B,$A13,'Data Input'!$D:$D,$B13)-SUMIFS('Data Input'!P:P,'Data Input'!$B:$B,$A13,'Data Input'!$D:$D,$B13))/SUMIFS('Data Input'!J:J,'Data Input'!$B:$B,$A13,'Data Input'!$D:$D,$B13),"")</f>
        <v>-0.05968237705</v>
      </c>
      <c r="Q13" s="7">
        <f t="shared" si="2"/>
        <v>-2.722361555</v>
      </c>
      <c r="R13" s="8" t="str">
        <f t="shared" si="3"/>
        <v>Indikasi Rendah</v>
      </c>
    </row>
    <row r="15">
      <c r="A15" s="9" t="s">
        <v>53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2026-08-20T09:58:36Z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